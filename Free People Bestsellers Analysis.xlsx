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ec317f3ed32c564/Documents/"/>
    </mc:Choice>
  </mc:AlternateContent>
  <xr:revisionPtr revIDLastSave="1819" documentId="8_{8DBBB1F1-9DAB-454B-88AF-C9D4AEDCEB68}" xr6:coauthVersionLast="47" xr6:coauthVersionMax="47" xr10:uidLastSave="{65206083-D4C0-4041-99E4-6841A6777131}"/>
  <bookViews>
    <workbookView xWindow="-120" yWindow="-120" windowWidth="23280" windowHeight="14880" firstSheet="1" activeTab="3" xr2:uid="{C7130FC7-7CF4-4609-807E-ECA7CFABF554}"/>
  </bookViews>
  <sheets>
    <sheet name="Raw Data" sheetId="3" r:id="rId1"/>
    <sheet name="Cleaned Data" sheetId="1" r:id="rId2"/>
    <sheet name="Pivot Tables" sheetId="2" r:id="rId3"/>
    <sheet name="Charts" sheetId="5" r:id="rId4"/>
    <sheet name="Lookup Table" sheetId="6" r:id="rId5"/>
  </sheets>
  <definedNames>
    <definedName name="_xlnm._FilterDatabase" localSheetId="1" hidden="1">'Cleaned Data'!$A$2:$T$77</definedName>
    <definedName name="_xlnm._FilterDatabase" localSheetId="4" hidden="1">'Lookup Table'!$A$1:$B$12</definedName>
  </definedNames>
  <calcPr calcId="191028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3" i="1"/>
</calcChain>
</file>

<file path=xl/sharedStrings.xml><?xml version="1.0" encoding="utf-8"?>
<sst xmlns="http://schemas.openxmlformats.org/spreadsheetml/2006/main" count="2102" uniqueCount="467">
  <si>
    <t>Product Name</t>
  </si>
  <si>
    <t>Product Category</t>
  </si>
  <si>
    <t>Subcategory</t>
  </si>
  <si>
    <t>Price</t>
  </si>
  <si>
    <t>Original Price</t>
  </si>
  <si>
    <t>Sale Status</t>
  </si>
  <si>
    <t>Discount %</t>
  </si>
  <si>
    <t>Primary Color</t>
  </si>
  <si>
    <t>Color Family</t>
  </si>
  <si>
    <t>Fabric/Material</t>
  </si>
  <si>
    <t>Style/aesthetic</t>
  </si>
  <si>
    <t>Number of Reviews</t>
  </si>
  <si>
    <t>Availability</t>
  </si>
  <si>
    <t>Pattern/Print</t>
  </si>
  <si>
    <t>Free People Bestsellers Analysis</t>
  </si>
  <si>
    <t>Opal Rollneck Knit Sweater</t>
  </si>
  <si>
    <t>Pullovers</t>
  </si>
  <si>
    <t>Tea</t>
  </si>
  <si>
    <t>Color Options Count</t>
  </si>
  <si>
    <t>Rating (Stars)</t>
  </si>
  <si>
    <t>Textured Knit</t>
  </si>
  <si>
    <t>Available</t>
  </si>
  <si>
    <t>Limited Availability</t>
  </si>
  <si>
    <t>Style No.</t>
  </si>
  <si>
    <t>Spotlight Washed Barrel Chino Trousers</t>
  </si>
  <si>
    <t>Pants</t>
  </si>
  <si>
    <t>Chino Trousers</t>
  </si>
  <si>
    <t>103179669</t>
  </si>
  <si>
    <t>Tofu</t>
  </si>
  <si>
    <t>56% Cotton, 32% Rayon, 12% Linen; Sizes run small</t>
  </si>
  <si>
    <t>Solid</t>
  </si>
  <si>
    <t>Bags</t>
  </si>
  <si>
    <t>Espresso</t>
  </si>
  <si>
    <t>100% Leather</t>
  </si>
  <si>
    <t>Ivory</t>
  </si>
  <si>
    <t>Margaux Tank</t>
  </si>
  <si>
    <t>Tops</t>
  </si>
  <si>
    <t>White Swan</t>
  </si>
  <si>
    <t>Polyester</t>
  </si>
  <si>
    <t>100% Polyester; Sizes run small; Low review count</t>
  </si>
  <si>
    <t>Tanks</t>
  </si>
  <si>
    <t>Dusty Olive</t>
  </si>
  <si>
    <t>Cotton, Rayon, Linen</t>
  </si>
  <si>
    <t>56% Cotton, 32% Rayon, 12% Linen; Sizes run small; Long fit size unavailable</t>
  </si>
  <si>
    <t>Ventura Oversized Aviator Sunglasses</t>
  </si>
  <si>
    <t>60094133</t>
  </si>
  <si>
    <t>Sunglasses + Eyewear</t>
  </si>
  <si>
    <t>Black/Berry</t>
  </si>
  <si>
    <t>Base Metal, Plastic</t>
  </si>
  <si>
    <t>Oversized; Low rating</t>
  </si>
  <si>
    <t>We The Free Good Luck Barrel Overalls</t>
  </si>
  <si>
    <t>86798519</t>
  </si>
  <si>
    <t>Jeans</t>
  </si>
  <si>
    <t>Overalls + Jumpsuits</t>
  </si>
  <si>
    <t>Ultra Light Beam</t>
  </si>
  <si>
    <t>Neutral</t>
  </si>
  <si>
    <t>Casual Denim</t>
  </si>
  <si>
    <t>Retro Aviator</t>
  </si>
  <si>
    <t>Limited sizes: Only L and XL available; Long fit unavailable</t>
  </si>
  <si>
    <t>We The Free Baby Emerson Tote Bag</t>
  </si>
  <si>
    <t>Salt</t>
  </si>
  <si>
    <t>Leather</t>
  </si>
  <si>
    <t>Cotton, Lyocell, Recycled Linen, Elastane</t>
  </si>
  <si>
    <t>BCI Cotton, Acrylic</t>
  </si>
  <si>
    <t>Margot SoftSpun Sweater Tee</t>
  </si>
  <si>
    <t>101764561</t>
  </si>
  <si>
    <t>Tees</t>
  </si>
  <si>
    <t>Marigold Melange</t>
  </si>
  <si>
    <t>54% Polyester, 36% Acrylic, 7% Polyamide, 3% Elastane; Oversized; XL unavailable</t>
  </si>
  <si>
    <t>57% BCI Cotton, 43% Acrylic; Oversized textured knit; Sizes: S and M unavailable</t>
  </si>
  <si>
    <t>So Soft Seamless Modal Long Sleeve</t>
  </si>
  <si>
    <t>101347284</t>
  </si>
  <si>
    <t>Intimates</t>
  </si>
  <si>
    <t>Full Price</t>
  </si>
  <si>
    <t>Whispering Willow</t>
  </si>
  <si>
    <t>Casual Basic</t>
  </si>
  <si>
    <t>15% Polyamide, 5% Elastane, 80% Modal; Runs small; Sizes: M and L unavailable</t>
  </si>
  <si>
    <t>Sailor Straw Hat</t>
  </si>
  <si>
    <t>Accessories</t>
  </si>
  <si>
    <t>Hats</t>
  </si>
  <si>
    <t>Paper</t>
  </si>
  <si>
    <t>100% Paper; Low review count</t>
  </si>
  <si>
    <t>Woven/Open Weave</t>
  </si>
  <si>
    <t>96577754</t>
  </si>
  <si>
    <t>Scarves + Bandanas</t>
  </si>
  <si>
    <t>Springtime Print Chocolate</t>
  </si>
  <si>
    <t>Paisley Print</t>
  </si>
  <si>
    <t>Silk</t>
  </si>
  <si>
    <t>100% Silk</t>
  </si>
  <si>
    <t>See You Soon Studded Tote</t>
  </si>
  <si>
    <t>100468586</t>
  </si>
  <si>
    <t>Bitter Bark</t>
  </si>
  <si>
    <t>Solid/Studded</t>
  </si>
  <si>
    <t>100% Leather; Studded; Low review count</t>
  </si>
  <si>
    <t>We The Free Peggy Tee</t>
  </si>
  <si>
    <t>Clean Ivory</t>
  </si>
  <si>
    <t>Cotton</t>
  </si>
  <si>
    <t>Opal Knit Cardi</t>
  </si>
  <si>
    <t>Sweaters</t>
  </si>
  <si>
    <t>Cardigans</t>
  </si>
  <si>
    <t>Black</t>
  </si>
  <si>
    <t>Cotton, Acrylic</t>
  </si>
  <si>
    <t>57% Cotton, 43% Acrylic</t>
  </si>
  <si>
    <t>Material Type</t>
  </si>
  <si>
    <t>Mixed</t>
  </si>
  <si>
    <t>Natural</t>
  </si>
  <si>
    <t>Synthetic</t>
  </si>
  <si>
    <t>Polyester, Acrylic, Polyamide, Elastine</t>
  </si>
  <si>
    <t>Mismatch Magnolia Sandals</t>
  </si>
  <si>
    <t>99005373</t>
  </si>
  <si>
    <t>Shoes</t>
  </si>
  <si>
    <t>Sandals</t>
  </si>
  <si>
    <t>Tan Suede</t>
  </si>
  <si>
    <t>Leather, Rubber</t>
  </si>
  <si>
    <t>Solid/Floral Detail</t>
  </si>
  <si>
    <t>100% Cotton; Limited sizes: Only sizes: L and XL available</t>
  </si>
  <si>
    <t>Limited sizes: Only size US 6 available</t>
  </si>
  <si>
    <t>We The Free Opal Swing Denim Jacket</t>
  </si>
  <si>
    <t>Jackets</t>
  </si>
  <si>
    <t>Denim Jackets</t>
  </si>
  <si>
    <t>Dusted Cocoa</t>
  </si>
  <si>
    <t>100% Cotton; Oversized</t>
  </si>
  <si>
    <t>Jojo Washed Oversized Funnel-Neck Jacket</t>
  </si>
  <si>
    <t>104773247</t>
  </si>
  <si>
    <t>Barns + Utility</t>
  </si>
  <si>
    <t>Brown Bear</t>
  </si>
  <si>
    <t>Dolman Quilted Knit Jacket</t>
  </si>
  <si>
    <t>63857528</t>
  </si>
  <si>
    <t>Quilted Knitted Jacket</t>
  </si>
  <si>
    <t>Champagne Diamonds</t>
  </si>
  <si>
    <t>Cotton, Polyester</t>
  </si>
  <si>
    <t>Quilted Knit</t>
  </si>
  <si>
    <t>We The Free Truro Baggy Puddle Jeans</t>
  </si>
  <si>
    <t>Beach Please</t>
  </si>
  <si>
    <t>Cotton, Lyocell</t>
  </si>
  <si>
    <t>61% Cotton, 39% Lyocell</t>
  </si>
  <si>
    <t>We The Free Tennessee Low-Rise Boyfriend Jeans</t>
  </si>
  <si>
    <t>94716370</t>
  </si>
  <si>
    <t>Indigo Ruin</t>
  </si>
  <si>
    <t>Solid/Ripped</t>
  </si>
  <si>
    <t>100% Cotton, Filling: 100% Polyester; Oversized; Limited sizes: Size S unavailable</t>
  </si>
  <si>
    <t>100% Cotton; Runs small; Long fit size unavailable</t>
  </si>
  <si>
    <t>Porta Cashmere Henley Sweater</t>
  </si>
  <si>
    <t>92819325</t>
  </si>
  <si>
    <t>Thermals + Henleys</t>
  </si>
  <si>
    <t>Green Lily</t>
  </si>
  <si>
    <t>Cashmere</t>
  </si>
  <si>
    <t>100% Cashmere; Limited sizes: Only L and XL available</t>
  </si>
  <si>
    <t>So Silk Badana</t>
  </si>
  <si>
    <t>100632421</t>
  </si>
  <si>
    <t>97540942</t>
  </si>
  <si>
    <t>107645277</t>
  </si>
  <si>
    <t>107581175</t>
  </si>
  <si>
    <t>105616825</t>
  </si>
  <si>
    <t>68349745</t>
  </si>
  <si>
    <t>99248387</t>
  </si>
  <si>
    <t>Polyamide, Elastane, Modal</t>
  </si>
  <si>
    <t>We The Free Nova Tee</t>
  </si>
  <si>
    <t>Lemon Narimba</t>
  </si>
  <si>
    <t>96137617</t>
  </si>
  <si>
    <t>Ecovero Viscose, Recycled Cotton, Recycled Polyester, Organic Cotton</t>
  </si>
  <si>
    <t>20% Ecovero Viscose, 25% Recycled Cotton, 25% Recycled Polyester, 30% Organic Cotton; Limited sizes: XL unavailable</t>
  </si>
  <si>
    <t>We The Free Emerson Tote Bag</t>
  </si>
  <si>
    <t>76194331</t>
  </si>
  <si>
    <t>Roma Suede Tote Bag</t>
  </si>
  <si>
    <t>68399500</t>
  </si>
  <si>
    <t>Salt Water</t>
  </si>
  <si>
    <t>Suede, Cotton</t>
  </si>
  <si>
    <t>Notes (If needed)</t>
  </si>
  <si>
    <t>See Me SoftSpun Cardigan</t>
  </si>
  <si>
    <t>104264072</t>
  </si>
  <si>
    <t>Sunlight</t>
  </si>
  <si>
    <t>Polyester, Wool, Acrylic, Elastane</t>
  </si>
  <si>
    <t>48% Polyester, 31% Wool, 17% Acrylic, 4% Elastane</t>
  </si>
  <si>
    <t>We The Free Love Me Not Bloomer Jeans</t>
  </si>
  <si>
    <t>100219682</t>
  </si>
  <si>
    <t>Baby's Alright</t>
  </si>
  <si>
    <t>100% Cotton; Limited sizes: XS and XL unavailable</t>
  </si>
  <si>
    <t>Rhea Leather Belt</t>
  </si>
  <si>
    <t>101255552</t>
  </si>
  <si>
    <t>Belts</t>
  </si>
  <si>
    <t>Banana Cream</t>
  </si>
  <si>
    <t>Limited sizes: XS/S Unavailable; Low review count</t>
  </si>
  <si>
    <t>We The Free Protagonist Cropped Cap Sleeve Tee</t>
  </si>
  <si>
    <t>81608937</t>
  </si>
  <si>
    <t>8% Elastane, 92% Cotton</t>
  </si>
  <si>
    <t>Frye Campus 14L Boots</t>
  </si>
  <si>
    <t>95958435</t>
  </si>
  <si>
    <t>Boots</t>
  </si>
  <si>
    <t>Bourbon</t>
  </si>
  <si>
    <t>Elastane, Cotton</t>
  </si>
  <si>
    <t>100% Leather; Runs small</t>
  </si>
  <si>
    <t>We The Free Palm Springs Pullover</t>
  </si>
  <si>
    <t>Cozy</t>
  </si>
  <si>
    <t>96774302</t>
  </si>
  <si>
    <t>Low review count</t>
  </si>
  <si>
    <t>Sabo East West Bag</t>
  </si>
  <si>
    <t>100073840</t>
  </si>
  <si>
    <t>Saddle</t>
  </si>
  <si>
    <t>Tilly Skinny Silk Convertible Scarf</t>
  </si>
  <si>
    <t>Ditsy Dots Pink</t>
  </si>
  <si>
    <t>Pink/Multicolor</t>
  </si>
  <si>
    <t>Floral</t>
  </si>
  <si>
    <t>Boho</t>
  </si>
  <si>
    <t>We The Free Montana Shorts</t>
  </si>
  <si>
    <t>94588803</t>
  </si>
  <si>
    <t>Shorts</t>
  </si>
  <si>
    <t>Haven</t>
  </si>
  <si>
    <t>100% Cotton</t>
  </si>
  <si>
    <t>VIBAe Roma Mules</t>
  </si>
  <si>
    <t>98060296</t>
  </si>
  <si>
    <t>Mules</t>
  </si>
  <si>
    <t>Cognac Brown</t>
  </si>
  <si>
    <t>We The Free Baby Asher Tote</t>
  </si>
  <si>
    <t>106790777</t>
  </si>
  <si>
    <t>Limited review count</t>
  </si>
  <si>
    <t>We The Free Fringe Out Vegan Suede Jacket</t>
  </si>
  <si>
    <t>87495743</t>
  </si>
  <si>
    <t>Fringe Jacket</t>
  </si>
  <si>
    <t>Toasted Coconut</t>
  </si>
  <si>
    <t>Fringe</t>
  </si>
  <si>
    <t>Belle Rosette Claw Clip</t>
  </si>
  <si>
    <t>106139603</t>
  </si>
  <si>
    <t>Hair Clips</t>
  </si>
  <si>
    <t>Sage</t>
  </si>
  <si>
    <t>60% Polyester, 40% Plastic; Low review count</t>
  </si>
  <si>
    <t>Romantic</t>
  </si>
  <si>
    <t>Understated Leather Wide Eyes Suede Fringe Collar</t>
  </si>
  <si>
    <t>Moss</t>
  </si>
  <si>
    <t>87% Polyester; 13% Elastane; Oversized</t>
  </si>
  <si>
    <t>Lotty Jacquard Band Jacket</t>
  </si>
  <si>
    <t>101828606</t>
  </si>
  <si>
    <t>Jacquard Jacket</t>
  </si>
  <si>
    <t>Rose Smoke</t>
  </si>
  <si>
    <t>Jacquard pattern</t>
  </si>
  <si>
    <t>60% Cotton 40% Polyester; Limited sizes: Sizes L and XL Unavailable</t>
  </si>
  <si>
    <t>Rhodes Stud Belt</t>
  </si>
  <si>
    <t>93473114</t>
  </si>
  <si>
    <t>Midnight</t>
  </si>
  <si>
    <t>100% Leather; Limited sizes: Only size L/XL available</t>
  </si>
  <si>
    <t>We The Free Ashton Crop Pull-On Cargo Pants</t>
  </si>
  <si>
    <t>Azure</t>
  </si>
  <si>
    <t>100% Cotton; Limited sizes: Size XL unavailable</t>
  </si>
  <si>
    <t>We The Free Perfect Oversized Tee</t>
  </si>
  <si>
    <t>96633029</t>
  </si>
  <si>
    <t>White</t>
  </si>
  <si>
    <t>We The Free Camden Sweatshirt</t>
  </si>
  <si>
    <t>62250774</t>
  </si>
  <si>
    <t>48% Cotton, 52% Polyester</t>
  </si>
  <si>
    <t>Chocolate Love</t>
  </si>
  <si>
    <t>We The Free Brentwood Slouchy Cargo Pants</t>
  </si>
  <si>
    <t>Mineral Bath</t>
  </si>
  <si>
    <t>100% Cotton; Limited sizes: Only sizes: US 10, 12, and 14 available</t>
  </si>
  <si>
    <t>Earthy Neutrals</t>
  </si>
  <si>
    <t>Blue Denim</t>
  </si>
  <si>
    <t>Neutrals</t>
  </si>
  <si>
    <t>Darks</t>
  </si>
  <si>
    <t>Warms</t>
  </si>
  <si>
    <t>Off-Whites</t>
  </si>
  <si>
    <t>Pastels</t>
  </si>
  <si>
    <t>Basic Casual</t>
  </si>
  <si>
    <t>Everyday Classic</t>
  </si>
  <si>
    <t>New Balance 9060 Sneakers</t>
  </si>
  <si>
    <t>82122839</t>
  </si>
  <si>
    <t>Sneakers</t>
  </si>
  <si>
    <t>Pink</t>
  </si>
  <si>
    <t>Mesh, Suede, Rubber</t>
  </si>
  <si>
    <t>Blues</t>
  </si>
  <si>
    <t>Pinks</t>
  </si>
  <si>
    <t>We The Free Good Luck Mid-Rise Barrel Jeans</t>
  </si>
  <si>
    <t>80799299</t>
  </si>
  <si>
    <t>Amalfi</t>
  </si>
  <si>
    <t>Distressed</t>
  </si>
  <si>
    <t>40% Recycled Cotton, 17% Cotton, 43% Lyocell</t>
  </si>
  <si>
    <t>We The Free Highland Low-Rise Twisted Bowed Jeans</t>
  </si>
  <si>
    <t>104798756</t>
  </si>
  <si>
    <t>Mood Indigo</t>
  </si>
  <si>
    <t>We The Free Freebird Jumpsuit</t>
  </si>
  <si>
    <t>97984066</t>
  </si>
  <si>
    <t>Denim Jumpsuit</t>
  </si>
  <si>
    <t>Echo</t>
  </si>
  <si>
    <t>Day's End Linen Pull-On Pants</t>
  </si>
  <si>
    <t>106997661</t>
  </si>
  <si>
    <t>Linen Pants</t>
  </si>
  <si>
    <t>Double Espresso</t>
  </si>
  <si>
    <t>52% Linen, 48% Cotton; Loose fit</t>
  </si>
  <si>
    <t>Something Good Pull-On Barrel Pants</t>
  </si>
  <si>
    <t>101500890</t>
  </si>
  <si>
    <t>Barrel Pants</t>
  </si>
  <si>
    <t>Kelly Green Combo</t>
  </si>
  <si>
    <t>Greens</t>
  </si>
  <si>
    <t>100% Cotton; limited sizes: Only size XL available</t>
  </si>
  <si>
    <t>We The Free Onset Pull-On Cargo Pants</t>
  </si>
  <si>
    <t>99359598</t>
  </si>
  <si>
    <t>Paper Lantern</t>
  </si>
  <si>
    <t>100% Cotton; Limited sizes: Only size L available</t>
  </si>
  <si>
    <t>We The Free Lotus Balloon Jeans</t>
  </si>
  <si>
    <t>Peachy Keen</t>
  </si>
  <si>
    <t>We The Free Fable Low-Rise Twisted Bowed Jeans</t>
  </si>
  <si>
    <t>106610611</t>
  </si>
  <si>
    <t>Art School</t>
  </si>
  <si>
    <t>We The Free Breezy Denim Pull-On Jeans</t>
  </si>
  <si>
    <t>87382560</t>
  </si>
  <si>
    <t>Dusk</t>
  </si>
  <si>
    <t>100% Cotton; may run long on petites</t>
  </si>
  <si>
    <t>We The Free Lay Down Chino Trousers</t>
  </si>
  <si>
    <t>Brownie</t>
  </si>
  <si>
    <t>100% Cotton; Reviews mention inconsistent sizing</t>
  </si>
  <si>
    <t>We The Free Jude Shortalls</t>
  </si>
  <si>
    <t>99965683</t>
  </si>
  <si>
    <t>Light Indigo</t>
  </si>
  <si>
    <t>Jean Shortalls</t>
  </si>
  <si>
    <t>Dixie Maxi Dress</t>
  </si>
  <si>
    <t>85308708</t>
  </si>
  <si>
    <t>Dresses</t>
  </si>
  <si>
    <t>Jumpsuits</t>
  </si>
  <si>
    <t>Maxi Dresses</t>
  </si>
  <si>
    <t>Fig</t>
  </si>
  <si>
    <t>Burgundy</t>
  </si>
  <si>
    <t>Viscose, Cotton</t>
  </si>
  <si>
    <t>Over The Rainbow Sweater Set</t>
  </si>
  <si>
    <t>104831144</t>
  </si>
  <si>
    <t>Sets</t>
  </si>
  <si>
    <t>Rainbow Combo</t>
  </si>
  <si>
    <t>Multicolor</t>
  </si>
  <si>
    <t>Stripes</t>
  </si>
  <si>
    <t>40% Cotton, 39% Acrylic, 21% Polyamide; Limited sizes: XL unavailable</t>
  </si>
  <si>
    <t>100% Viscose, Lining: 100% Cotton; Limited sizes: L and XL unavailable</t>
  </si>
  <si>
    <t>We The Free Jamie Henley</t>
  </si>
  <si>
    <t>93598514</t>
  </si>
  <si>
    <t>Quiet Grey</t>
  </si>
  <si>
    <t>Greys</t>
  </si>
  <si>
    <t>95% Cotton, 5% Elastane</t>
  </si>
  <si>
    <t>Sweater Set</t>
  </si>
  <si>
    <t>We The Free Waimea Slouchy Shorts</t>
  </si>
  <si>
    <t>65647802</t>
  </si>
  <si>
    <t>Cameo Green</t>
  </si>
  <si>
    <t>100212216</t>
  </si>
  <si>
    <t>97310320</t>
  </si>
  <si>
    <t>99387854</t>
  </si>
  <si>
    <t>60921657</t>
  </si>
  <si>
    <t>96061528</t>
  </si>
  <si>
    <t>Polyester, Elastane</t>
  </si>
  <si>
    <t>Polyester,Plastic</t>
  </si>
  <si>
    <t>Recycled Cotton, Cotton, Lyocell</t>
  </si>
  <si>
    <t>Linen, Cotton</t>
  </si>
  <si>
    <t>Cotton, Acrylic, Polyamide</t>
  </si>
  <si>
    <t>Cotton, Elastane</t>
  </si>
  <si>
    <t>Vintage</t>
  </si>
  <si>
    <t>Limited sizes: Sizes 26 and 27 unavailable</t>
  </si>
  <si>
    <t>Salomon XT-6</t>
  </si>
  <si>
    <t>98917701</t>
  </si>
  <si>
    <t>Rainy Day / Paloma / Ftw Silver</t>
  </si>
  <si>
    <t>Mesh, Textile, Rubber</t>
  </si>
  <si>
    <t>Lace up design</t>
  </si>
  <si>
    <t>Reviews mentioned long shipping times and wrong size or color delivered</t>
  </si>
  <si>
    <t>Moonflower Pull-On Balloon Pants</t>
  </si>
  <si>
    <t>104179064</t>
  </si>
  <si>
    <t>Balloon Pants</t>
  </si>
  <si>
    <t>Cotton, Rayon</t>
  </si>
  <si>
    <t>60% Cotton, 40% Rayon; Limited sizes: Size XL unavailable</t>
  </si>
  <si>
    <t>Chelsea Funnel-Neck Jacket</t>
  </si>
  <si>
    <t>107456675</t>
  </si>
  <si>
    <t>Funnel-Neck Jackets</t>
  </si>
  <si>
    <t>Flint Stone</t>
  </si>
  <si>
    <t>Polyester, Cotton, Polyamide</t>
  </si>
  <si>
    <t>49% Polyester, 41% Cotton, 10% Polyamide ; Low review count</t>
  </si>
  <si>
    <t>Better On Sweatshirt</t>
  </si>
  <si>
    <t>100458652</t>
  </si>
  <si>
    <t>Hoodies + Sweatshirts</t>
  </si>
  <si>
    <t>Coconut Milk</t>
  </si>
  <si>
    <t>End Game Pointelle Tank</t>
  </si>
  <si>
    <t>88830864</t>
  </si>
  <si>
    <t>Paradise Green</t>
  </si>
  <si>
    <t>96% Cotton, 4% Elastane</t>
  </si>
  <si>
    <t>We The Free Tahiti Pull-On Cargo Pants</t>
  </si>
  <si>
    <t>Pink Salt</t>
  </si>
  <si>
    <t>We The Free Moxie Barrel Shorts</t>
  </si>
  <si>
    <t>92255322</t>
  </si>
  <si>
    <t>68503010</t>
  </si>
  <si>
    <t>Sunset</t>
  </si>
  <si>
    <t>Peach</t>
  </si>
  <si>
    <t>We The Free Madison City Denim Jacket</t>
  </si>
  <si>
    <t>81931875</t>
  </si>
  <si>
    <t>Lychee Blush</t>
  </si>
  <si>
    <t>Petal Party Lace Plunge Bralette</t>
  </si>
  <si>
    <t>104856471</t>
  </si>
  <si>
    <t>Bralettes</t>
  </si>
  <si>
    <t>Vanilla Custard</t>
  </si>
  <si>
    <t>Lace</t>
  </si>
  <si>
    <t>Nylon, Elastane, Nylon, Elastane</t>
  </si>
  <si>
    <t>93% Nylon, 7% Elastane; Lining: 84% Nylon, 16% Elastane; Limited sizes: XS and XL unavailable</t>
  </si>
  <si>
    <t>We The Free Moxie Pull-On Barrel Jeans</t>
  </si>
  <si>
    <t>69328516</t>
  </si>
  <si>
    <t>Timeless Blue</t>
  </si>
  <si>
    <t>Blue Jean</t>
  </si>
  <si>
    <t>Paint splatters</t>
  </si>
  <si>
    <t>Gola Elan Sneakers</t>
  </si>
  <si>
    <t>82908096</t>
  </si>
  <si>
    <t>Coral/White</t>
  </si>
  <si>
    <t>Suede, Leather, Textile, Rubber</t>
  </si>
  <si>
    <t>Limited sizes: US 7.5, US 8.5, US 9, US 9.5, US 11 unavailable</t>
  </si>
  <si>
    <t>We The Free Libre Wide-Leg Jeans</t>
  </si>
  <si>
    <t>90455114</t>
  </si>
  <si>
    <t>Café Noir</t>
  </si>
  <si>
    <t>Polyester, Elastane, Cotton</t>
  </si>
  <si>
    <t>100% Cotton; Long fit size unavailable; Limited sizes: 24, 25, and 33 unavailable</t>
  </si>
  <si>
    <t>16% Polyester, 2% Elastane, 82% Cotton; Short fit size unavailable; Limited sizes: 27 and 28 unavailable</t>
  </si>
  <si>
    <t>We The Free Scorpio Shirred Mid-Rise Cargo Pants</t>
  </si>
  <si>
    <t>Paprika</t>
  </si>
  <si>
    <t>Reds</t>
  </si>
  <si>
    <t>102191582</t>
  </si>
  <si>
    <t>Rayon, Nylon</t>
  </si>
  <si>
    <t>82% Rayon, 18% Nylon; Limited sizes: XL unavailable</t>
  </si>
  <si>
    <t>Cargos</t>
  </si>
  <si>
    <t>Henleys</t>
  </si>
  <si>
    <t>No major notes</t>
  </si>
  <si>
    <t xml:space="preserve">Notes </t>
  </si>
  <si>
    <t>Sweater Sets</t>
  </si>
  <si>
    <t>Denim Jumpsuits</t>
  </si>
  <si>
    <t>Jacquard Jackets</t>
  </si>
  <si>
    <t>Fringe Jackets</t>
  </si>
  <si>
    <t>Quilted Knitted Jackets</t>
  </si>
  <si>
    <t>Red</t>
  </si>
  <si>
    <t>Green</t>
  </si>
  <si>
    <t>Grey</t>
  </si>
  <si>
    <t>Earthy Neutral</t>
  </si>
  <si>
    <t>Off-White</t>
  </si>
  <si>
    <t>Dark Neutral</t>
  </si>
  <si>
    <t>Blue</t>
  </si>
  <si>
    <t>Yellow</t>
  </si>
  <si>
    <t>Polyester, Plastic</t>
  </si>
  <si>
    <t>Blend</t>
  </si>
  <si>
    <t>Polyester, Acrylic, Polyamide, Elastane</t>
  </si>
  <si>
    <t xml:space="preserve">   </t>
  </si>
  <si>
    <t>Grand Total</t>
  </si>
  <si>
    <t>Product Count</t>
  </si>
  <si>
    <t>Lady Lux Layering Top</t>
  </si>
  <si>
    <t>Elastane, Nylon</t>
  </si>
  <si>
    <t>100% Cashmere; Limited sizes: only L and XL available</t>
  </si>
  <si>
    <t>100% Leather; Limited sizes: only size L/XL available</t>
  </si>
  <si>
    <t>100% Cotton; Limited sizes: only sizes: US 10, 12, and 14 available</t>
  </si>
  <si>
    <t>100% Cotton; limited sizes: only size XL available</t>
  </si>
  <si>
    <t>100% Cotton; Limited sizes: only size L available</t>
  </si>
  <si>
    <t>Limited sizes: only L and XL available; Long fit unavailable</t>
  </si>
  <si>
    <t>100% Cotton; Limited sizes: only sizes: L and XL available</t>
  </si>
  <si>
    <t>Limited sizes: only size US 6 available</t>
  </si>
  <si>
    <t>Limited sizes: XS/S unavailable; Low review count</t>
  </si>
  <si>
    <t>60% Cotton 40% Polyester; Limited sizes: Sizes L and XL unavailable</t>
  </si>
  <si>
    <t>15% Elastane, 85% Nylon; Limited sizes: M, L, and XL unavailable</t>
  </si>
  <si>
    <t>Color Family Count</t>
  </si>
  <si>
    <t xml:space="preserve"> Product Category Count</t>
  </si>
  <si>
    <t>Material Type Count</t>
  </si>
  <si>
    <t>Average Price by Product Category</t>
  </si>
  <si>
    <t>Average Price</t>
  </si>
  <si>
    <t>Average Rating by Product Category</t>
  </si>
  <si>
    <t>Average Review Count</t>
  </si>
  <si>
    <t>Average Review by Product Category</t>
  </si>
  <si>
    <t>Average Rating (Stars)</t>
  </si>
  <si>
    <t>\</t>
  </si>
  <si>
    <t>Free People Bestsellers Analysis: Charts</t>
  </si>
  <si>
    <t>Category Group</t>
  </si>
  <si>
    <t>Apparel</t>
  </si>
  <si>
    <t>Footwear</t>
  </si>
  <si>
    <t>Product Count by Category Group</t>
  </si>
  <si>
    <t xml:space="preserve">Category Group </t>
  </si>
  <si>
    <t>Size inconsistency; Low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</si>
</sst>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0.0"/>
    <numFmt numFmtId="165" formatCode="_(&quot;$&quot;* #,##0_);_(&quot;$&quot;* \(#,##0\);_(&quot;$&quot;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theme="1"/>
      <name val="Times New Roman"/>
      <family val="1"/>
    </font>
    <font>
      <sz val="12"/>
      <color theme="1"/>
      <name val="Times New Roman"/>
      <family val="1"/>
    </font>
    <font>
      <b/>
      <sz val="13"/>
      <color theme="1"/>
      <name val="Times New Roman"/>
      <family val="1"/>
    </font>
    <font>
      <sz val="12"/>
      <color rgb="FF252423"/>
      <name val="Times New Roman"/>
      <family val="1"/>
    </font>
    <font>
      <sz val="11"/>
      <color theme="1"/>
      <name val="Times New Roman"/>
      <family val="1"/>
    </font>
    <font>
      <b/>
      <sz val="16"/>
      <color rgb="FF000000"/>
      <name val="Times New Roman"/>
      <family val="1"/>
    </font>
    <font>
      <sz val="11"/>
      <color theme="1"/>
      <name val="Aptos Narrow"/>
      <family val="2"/>
    </font>
    <font>
      <b/>
      <sz val="13"/>
      <color rgb="FF000000"/>
      <name val="Times New Roman"/>
      <family val="1"/>
    </font>
    <font>
      <sz val="12"/>
      <color rgb="FF000000"/>
      <name val="Times New Roman"/>
      <family val="1"/>
    </font>
    <font>
      <sz val="11"/>
      <color rgb="FF000000"/>
      <name val="Times New Roman"/>
      <family val="1"/>
    </font>
    <font>
      <sz val="16"/>
      <color theme="1"/>
      <name val="Times New Roman"/>
      <family val="1"/>
    </font>
    <font>
      <b/>
      <sz val="16"/>
      <color theme="5" tint="-0.249977111117893"/>
      <name val="Times New Roman"/>
      <family val="1"/>
    </font>
    <font>
      <sz val="16"/>
      <color theme="5" tint="-0.249977111117893"/>
      <name val="Times New Roman"/>
      <family val="1"/>
    </font>
    <font>
      <sz val="16"/>
      <color theme="5" tint="-0.499984740745262"/>
      <name val="Times New Roman"/>
      <family val="1"/>
    </font>
    <font>
      <sz val="12"/>
      <color theme="1"/>
      <name val="Aptos Narrow"/>
      <family val="2"/>
      <scheme val="minor"/>
    </font>
    <font>
      <b/>
      <sz val="18"/>
      <color theme="5" tint="-0.249977111117893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2CEEF"/>
        <bgColor rgb="FF000000"/>
      </patternFill>
    </fill>
    <fill>
      <patternFill patternType="solid">
        <fgColor rgb="FFF7C7AC"/>
        <bgColor rgb="FF000000"/>
      </patternFill>
    </fill>
    <fill>
      <patternFill patternType="solid">
        <fgColor rgb="FFFFF7E7"/>
        <bgColor indexed="64"/>
      </patternFill>
    </fill>
    <fill>
      <patternFill patternType="solid">
        <fgColor rgb="FFFBEFFA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2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4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9" fontId="0" fillId="0" borderId="0" xfId="0" applyNumberFormat="1" applyAlignment="1">
      <alignment horizontal="center"/>
    </xf>
    <xf numFmtId="0" fontId="3" fillId="0" borderId="0" xfId="0" applyFont="1"/>
    <xf numFmtId="49" fontId="3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44" fontId="3" fillId="0" borderId="0" xfId="1" applyFont="1" applyAlignment="1">
      <alignment horizontal="center"/>
    </xf>
    <xf numFmtId="0" fontId="3" fillId="0" borderId="0" xfId="0" applyFont="1" applyAlignment="1">
      <alignment horizontal="center"/>
    </xf>
    <xf numFmtId="9" fontId="3" fillId="0" borderId="0" xfId="2" applyFont="1" applyAlignment="1">
      <alignment horizontal="center"/>
    </xf>
    <xf numFmtId="164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44" fontId="3" fillId="0" borderId="0" xfId="0" applyNumberFormat="1" applyFont="1" applyAlignment="1">
      <alignment horizontal="center"/>
    </xf>
    <xf numFmtId="9" fontId="3" fillId="0" borderId="0" xfId="0" applyNumberFormat="1" applyFont="1" applyAlignment="1">
      <alignment horizontal="center"/>
    </xf>
    <xf numFmtId="0" fontId="4" fillId="3" borderId="0" xfId="0" applyFont="1" applyFill="1"/>
    <xf numFmtId="49" fontId="4" fillId="3" borderId="0" xfId="0" applyNumberFormat="1" applyFont="1" applyFill="1" applyAlignment="1">
      <alignment horizontal="center"/>
    </xf>
    <xf numFmtId="0" fontId="4" fillId="3" borderId="0" xfId="0" applyFont="1" applyFill="1" applyAlignment="1">
      <alignment horizontal="left"/>
    </xf>
    <xf numFmtId="44" fontId="4" fillId="3" borderId="0" xfId="0" applyNumberFormat="1" applyFont="1" applyFill="1" applyAlignment="1">
      <alignment horizontal="center"/>
    </xf>
    <xf numFmtId="0" fontId="4" fillId="3" borderId="0" xfId="0" applyFont="1" applyFill="1" applyAlignment="1">
      <alignment horizontal="center"/>
    </xf>
    <xf numFmtId="9" fontId="4" fillId="3" borderId="0" xfId="0" applyNumberFormat="1" applyFont="1" applyFill="1" applyAlignment="1">
      <alignment horizontal="center"/>
    </xf>
    <xf numFmtId="164" fontId="4" fillId="3" borderId="0" xfId="0" applyNumberFormat="1" applyFont="1" applyFill="1" applyAlignment="1">
      <alignment horizontal="center"/>
    </xf>
    <xf numFmtId="1" fontId="4" fillId="3" borderId="0" xfId="0" applyNumberFormat="1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left"/>
    </xf>
    <xf numFmtId="44" fontId="6" fillId="0" borderId="0" xfId="0" applyNumberFormat="1" applyFont="1" applyAlignment="1">
      <alignment horizontal="center"/>
    </xf>
    <xf numFmtId="0" fontId="8" fillId="4" borderId="0" xfId="0" applyFont="1" applyFill="1"/>
    <xf numFmtId="0" fontId="9" fillId="5" borderId="0" xfId="0" applyFont="1" applyFill="1"/>
    <xf numFmtId="49" fontId="9" fillId="5" borderId="0" xfId="0" applyNumberFormat="1" applyFont="1" applyFill="1" applyAlignment="1">
      <alignment horizontal="center"/>
    </xf>
    <xf numFmtId="0" fontId="9" fillId="5" borderId="0" xfId="0" applyFont="1" applyFill="1" applyAlignment="1">
      <alignment horizontal="left"/>
    </xf>
    <xf numFmtId="44" fontId="9" fillId="5" borderId="0" xfId="0" applyNumberFormat="1" applyFont="1" applyFill="1" applyAlignment="1">
      <alignment horizontal="center"/>
    </xf>
    <xf numFmtId="0" fontId="9" fillId="5" borderId="0" xfId="0" applyFont="1" applyFill="1" applyAlignment="1">
      <alignment horizontal="center"/>
    </xf>
    <xf numFmtId="9" fontId="9" fillId="5" borderId="0" xfId="0" applyNumberFormat="1" applyFont="1" applyFill="1" applyAlignment="1">
      <alignment horizontal="center"/>
    </xf>
    <xf numFmtId="164" fontId="9" fillId="5" borderId="0" xfId="0" applyNumberFormat="1" applyFont="1" applyFill="1" applyAlignment="1">
      <alignment horizontal="center"/>
    </xf>
    <xf numFmtId="1" fontId="9" fillId="5" borderId="0" xfId="0" applyNumberFormat="1" applyFont="1" applyFill="1" applyAlignment="1">
      <alignment horizontal="center"/>
    </xf>
    <xf numFmtId="0" fontId="10" fillId="0" borderId="0" xfId="0" applyFont="1"/>
    <xf numFmtId="49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left"/>
    </xf>
    <xf numFmtId="44" fontId="10" fillId="0" borderId="0" xfId="1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9" fontId="10" fillId="0" borderId="0" xfId="2" applyFont="1" applyFill="1" applyBorder="1" applyAlignment="1">
      <alignment horizontal="center"/>
    </xf>
    <xf numFmtId="164" fontId="10" fillId="0" borderId="0" xfId="0" applyNumberFormat="1" applyFont="1" applyAlignment="1">
      <alignment horizontal="center"/>
    </xf>
    <xf numFmtId="1" fontId="10" fillId="0" borderId="0" xfId="0" applyNumberFormat="1" applyFont="1" applyAlignment="1">
      <alignment horizontal="center"/>
    </xf>
    <xf numFmtId="44" fontId="10" fillId="0" borderId="0" xfId="0" applyNumberFormat="1" applyFont="1" applyAlignment="1">
      <alignment horizontal="center"/>
    </xf>
    <xf numFmtId="9" fontId="10" fillId="0" borderId="0" xfId="0" applyNumberFormat="1" applyFont="1" applyAlignment="1">
      <alignment horizontal="center"/>
    </xf>
    <xf numFmtId="0" fontId="11" fillId="0" borderId="0" xfId="0" applyFont="1" applyAlignment="1">
      <alignment horizontal="left"/>
    </xf>
    <xf numFmtId="0" fontId="8" fillId="0" borderId="0" xfId="0" applyFont="1"/>
    <xf numFmtId="0" fontId="8" fillId="0" borderId="0" xfId="0" applyFont="1" applyAlignment="1">
      <alignment horizontal="left"/>
    </xf>
    <xf numFmtId="9" fontId="8" fillId="0" borderId="0" xfId="0" applyNumberFormat="1" applyFont="1" applyAlignment="1">
      <alignment horizontal="center"/>
    </xf>
    <xf numFmtId="44" fontId="11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44" fontId="8" fillId="0" borderId="0" xfId="0" applyNumberFormat="1" applyFont="1" applyAlignment="1">
      <alignment horizontal="center"/>
    </xf>
    <xf numFmtId="164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/>
    <xf numFmtId="0" fontId="6" fillId="0" borderId="0" xfId="0" applyFont="1"/>
    <xf numFmtId="0" fontId="3" fillId="2" borderId="0" xfId="0" applyFont="1" applyFill="1"/>
    <xf numFmtId="0" fontId="3" fillId="2" borderId="0" xfId="0" applyFont="1" applyFill="1" applyAlignment="1">
      <alignment horizontal="left"/>
    </xf>
    <xf numFmtId="0" fontId="3" fillId="0" borderId="0" xfId="0" pivotButton="1" applyFont="1"/>
    <xf numFmtId="0" fontId="16" fillId="0" borderId="0" xfId="0" applyFont="1"/>
    <xf numFmtId="165" fontId="3" fillId="0" borderId="0" xfId="0" applyNumberFormat="1" applyFont="1"/>
    <xf numFmtId="165" fontId="3" fillId="2" borderId="0" xfId="0" applyNumberFormat="1" applyFont="1" applyFill="1"/>
    <xf numFmtId="164" fontId="3" fillId="0" borderId="0" xfId="0" applyNumberFormat="1" applyFont="1"/>
    <xf numFmtId="164" fontId="3" fillId="2" borderId="0" xfId="0" applyNumberFormat="1" applyFont="1" applyFill="1"/>
    <xf numFmtId="1" fontId="3" fillId="0" borderId="0" xfId="0" applyNumberFormat="1" applyFont="1"/>
    <xf numFmtId="1" fontId="3" fillId="2" borderId="0" xfId="0" applyNumberFormat="1" applyFont="1" applyFill="1"/>
    <xf numFmtId="0" fontId="13" fillId="6" borderId="1" xfId="0" applyFont="1" applyFill="1" applyBorder="1"/>
    <xf numFmtId="0" fontId="13" fillId="6" borderId="2" xfId="0" applyFont="1" applyFill="1" applyBorder="1"/>
    <xf numFmtId="0" fontId="3" fillId="7" borderId="3" xfId="0" applyFont="1" applyFill="1" applyBorder="1"/>
    <xf numFmtId="0" fontId="3" fillId="7" borderId="4" xfId="0" applyFont="1" applyFill="1" applyBorder="1"/>
    <xf numFmtId="0" fontId="3" fillId="7" borderId="5" xfId="0" applyFont="1" applyFill="1" applyBorder="1"/>
    <xf numFmtId="0" fontId="3" fillId="7" borderId="6" xfId="0" applyFont="1" applyFill="1" applyBorder="1"/>
    <xf numFmtId="0" fontId="6" fillId="2" borderId="0" xfId="0" applyFont="1" applyFill="1" applyAlignment="1">
      <alignment horizontal="left"/>
    </xf>
    <xf numFmtId="0" fontId="6" fillId="2" borderId="0" xfId="0" applyFont="1" applyFill="1"/>
    <xf numFmtId="0" fontId="17" fillId="0" borderId="0" xfId="0" applyFont="1" applyAlignment="1">
      <alignment horizontal="center"/>
    </xf>
    <xf numFmtId="0" fontId="7" fillId="4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3" fillId="6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13" fillId="0" borderId="0" xfId="0" applyFont="1" applyAlignment="1">
      <alignment horizontal="center"/>
    </xf>
    <xf numFmtId="0" fontId="12" fillId="6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15" fillId="6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2" fillId="0" borderId="0" xfId="0" applyFont="1" applyAlignment="1">
      <alignment horizontal="center"/>
    </xf>
    <xf numFmtId="0" fontId="14" fillId="6" borderId="0" xfId="0" applyFont="1" applyFill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111"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numFmt numFmtId="165" formatCode="_(&quot;$&quot;* #,##0_);_(&quot;$&quot;* \(#,##0\);_(&quot;$&quot;* &quot;-&quot;??_);_(@_)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name val="Times New Roman"/>
        <family val="1"/>
        <scheme val="none"/>
      </font>
    </dxf>
    <dxf>
      <font>
        <sz val="12"/>
      </font>
    </dxf>
    <dxf>
      <font>
        <name val="Times New Roman"/>
        <family val="1"/>
        <scheme val="none"/>
      </font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</dxfs>
  <tableStyles count="0" defaultTableStyle="TableStyleMedium2" defaultPivotStyle="PivotStyleLight16"/>
  <colors>
    <mruColors>
      <color rgb="FFF85B1C"/>
      <color rgb="FFFFF7E7"/>
      <color rgb="FFFBEFFA"/>
      <color rgb="FFF5DBF2"/>
      <color rgb="FFFFF4E7"/>
      <color rgb="FF3A3A3A"/>
      <color rgb="FFFC0CEB"/>
      <color rgb="FFFFF1E7"/>
      <color rgb="FFD632BF"/>
      <color rgb="FFEA2A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[Free People Bestsellers Analysis.xlsx]Pivot Tables!PivotTable1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Free</a:t>
            </a:r>
            <a:r>
              <a:rPr lang="en-US" sz="1600" b="1" baseline="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People Bestsellers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2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2">
                      <a:lumMod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2">
                        <a:lumMod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Tables'!$A$4:$A$15</c:f>
              <c:strCache>
                <c:ptCount val="11"/>
                <c:pt idx="0">
                  <c:v>Pants</c:v>
                </c:pt>
                <c:pt idx="1">
                  <c:v>Accessories</c:v>
                </c:pt>
                <c:pt idx="2">
                  <c:v>Tops</c:v>
                </c:pt>
                <c:pt idx="3">
                  <c:v>Jackets</c:v>
                </c:pt>
                <c:pt idx="4">
                  <c:v>Shoes</c:v>
                </c:pt>
                <c:pt idx="5">
                  <c:v>Sweaters</c:v>
                </c:pt>
                <c:pt idx="6">
                  <c:v>Jeans</c:v>
                </c:pt>
                <c:pt idx="7">
                  <c:v>Sets</c:v>
                </c:pt>
                <c:pt idx="8">
                  <c:v>Intimates</c:v>
                </c:pt>
                <c:pt idx="9">
                  <c:v>Dresses</c:v>
                </c:pt>
                <c:pt idx="10">
                  <c:v>Jumpsuits</c:v>
                </c:pt>
              </c:strCache>
            </c:strRef>
          </c:cat>
          <c:val>
            <c:numRef>
              <c:f>'Pivot Tables'!$B$4:$B$15</c:f>
              <c:numCache>
                <c:formatCode>General</c:formatCode>
                <c:ptCount val="11"/>
                <c:pt idx="0">
                  <c:v>24</c:v>
                </c:pt>
                <c:pt idx="1">
                  <c:v>15</c:v>
                </c:pt>
                <c:pt idx="2">
                  <c:v>11</c:v>
                </c:pt>
                <c:pt idx="3">
                  <c:v>7</c:v>
                </c:pt>
                <c:pt idx="4">
                  <c:v>6</c:v>
                </c:pt>
                <c:pt idx="5">
                  <c:v>6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CF-4E27-AB70-C955E88A8EB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47654464"/>
        <c:axId val="1242407600"/>
      </c:barChart>
      <c:catAx>
        <c:axId val="12476544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rgbClr val="3A3A3A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42407600"/>
        <c:crosses val="autoZero"/>
        <c:auto val="1"/>
        <c:lblAlgn val="ctr"/>
        <c:lblOffset val="100"/>
        <c:noMultiLvlLbl val="0"/>
      </c:catAx>
      <c:valAx>
        <c:axId val="1242407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F85B1C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47654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7E7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[Free People Bestsellers Analysis.xlsx]Pivot Tables!PivotTable4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Free</a:t>
            </a:r>
            <a:r>
              <a:rPr lang="en-US" sz="1600" b="1" baseline="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People Bestsellers by Color Family</a:t>
            </a:r>
            <a:endParaRPr lang="en-US" sz="1600" b="1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2">
                      <a:lumMod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2">
                        <a:lumMod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Tables'!$A$23:$A$36</c:f>
              <c:strCache>
                <c:ptCount val="13"/>
                <c:pt idx="0">
                  <c:v>Earthy Neutral</c:v>
                </c:pt>
                <c:pt idx="1">
                  <c:v>Blue Denim</c:v>
                </c:pt>
                <c:pt idx="2">
                  <c:v>Dark Neutral</c:v>
                </c:pt>
                <c:pt idx="3">
                  <c:v>Pink</c:v>
                </c:pt>
                <c:pt idx="4">
                  <c:v>Off-White</c:v>
                </c:pt>
                <c:pt idx="5">
                  <c:v>White</c:v>
                </c:pt>
                <c:pt idx="6">
                  <c:v>Neutral</c:v>
                </c:pt>
                <c:pt idx="7">
                  <c:v>Green</c:v>
                </c:pt>
                <c:pt idx="8">
                  <c:v>Yellow</c:v>
                </c:pt>
                <c:pt idx="9">
                  <c:v>Red</c:v>
                </c:pt>
                <c:pt idx="10">
                  <c:v>Blue</c:v>
                </c:pt>
                <c:pt idx="11">
                  <c:v>Grey</c:v>
                </c:pt>
                <c:pt idx="12">
                  <c:v>Multicolor</c:v>
                </c:pt>
              </c:strCache>
            </c:strRef>
          </c:cat>
          <c:val>
            <c:numRef>
              <c:f>'Pivot Tables'!$B$23:$B$36</c:f>
              <c:numCache>
                <c:formatCode>General</c:formatCode>
                <c:ptCount val="13"/>
                <c:pt idx="0">
                  <c:v>18</c:v>
                </c:pt>
                <c:pt idx="1">
                  <c:v>12</c:v>
                </c:pt>
                <c:pt idx="2">
                  <c:v>8</c:v>
                </c:pt>
                <c:pt idx="3">
                  <c:v>8</c:v>
                </c:pt>
                <c:pt idx="4">
                  <c:v>5</c:v>
                </c:pt>
                <c:pt idx="5">
                  <c:v>5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6F-4112-95AE-8DF351EA6AF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08454976"/>
        <c:axId val="682478959"/>
      </c:barChart>
      <c:catAx>
        <c:axId val="11084549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rgbClr val="3A3A3A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82478959"/>
        <c:crosses val="autoZero"/>
        <c:auto val="1"/>
        <c:lblAlgn val="ctr"/>
        <c:lblOffset val="100"/>
        <c:noMultiLvlLbl val="0"/>
      </c:catAx>
      <c:valAx>
        <c:axId val="682478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F85B1C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08454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7E7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[Free People Bestsellers Analysis.xlsx]Pivot Tables!PivotTable2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Free People Bestsellers by Material Type</a:t>
            </a:r>
          </a:p>
        </c:rich>
      </c:tx>
      <c:layout>
        <c:manualLayout>
          <c:xMode val="edge"/>
          <c:yMode val="edge"/>
          <c:x val="0.18215611527606684"/>
          <c:y val="3.72864564228452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accent2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2">
                      <a:lumMod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Tables'!$B$44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2">
                        <a:lumMod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Tables'!$A$45:$A$48</c:f>
              <c:strCache>
                <c:ptCount val="3"/>
                <c:pt idx="0">
                  <c:v>Natural</c:v>
                </c:pt>
                <c:pt idx="1">
                  <c:v>Blend</c:v>
                </c:pt>
                <c:pt idx="2">
                  <c:v>Synthetic</c:v>
                </c:pt>
              </c:strCache>
            </c:strRef>
          </c:cat>
          <c:val>
            <c:numRef>
              <c:f>'Pivot Tables'!$B$45:$B$48</c:f>
              <c:numCache>
                <c:formatCode>General</c:formatCode>
                <c:ptCount val="3"/>
                <c:pt idx="0">
                  <c:v>41</c:v>
                </c:pt>
                <c:pt idx="1">
                  <c:v>27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64-4F1A-9999-696636CB9A7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82912895"/>
        <c:axId val="1068337904"/>
      </c:barChart>
      <c:catAx>
        <c:axId val="12829128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bg2">
                    <a:lumMod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68337904"/>
        <c:crosses val="autoZero"/>
        <c:auto val="1"/>
        <c:lblAlgn val="ctr"/>
        <c:lblOffset val="100"/>
        <c:noMultiLvlLbl val="0"/>
      </c:catAx>
      <c:valAx>
        <c:axId val="1068337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F85B1C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82912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7E7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[Free People Bestsellers Analysis.xlsx]Pivot Tables!PivotTable5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600" b="1">
                <a:solidFill>
                  <a:schemeClr val="accent2">
                    <a:lumMod val="75000"/>
                  </a:schemeClr>
                </a:solidFill>
              </a:rPr>
              <a:t>Average Price by Product Category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2">
                      <a:lumMod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Tables'!$B$57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2">
                        <a:lumMod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Tables'!$A$58:$A$69</c:f>
              <c:strCache>
                <c:ptCount val="11"/>
                <c:pt idx="0">
                  <c:v>Shoes</c:v>
                </c:pt>
                <c:pt idx="1">
                  <c:v>Jackets</c:v>
                </c:pt>
                <c:pt idx="2">
                  <c:v>Sets</c:v>
                </c:pt>
                <c:pt idx="3">
                  <c:v>Pants</c:v>
                </c:pt>
                <c:pt idx="4">
                  <c:v>Dresses</c:v>
                </c:pt>
                <c:pt idx="5">
                  <c:v>Jeans</c:v>
                </c:pt>
                <c:pt idx="6">
                  <c:v>Sweaters</c:v>
                </c:pt>
                <c:pt idx="7">
                  <c:v>Accessories</c:v>
                </c:pt>
                <c:pt idx="8">
                  <c:v>Jumpsuits</c:v>
                </c:pt>
                <c:pt idx="9">
                  <c:v>Tops</c:v>
                </c:pt>
                <c:pt idx="10">
                  <c:v>Intimates</c:v>
                </c:pt>
              </c:strCache>
            </c:strRef>
          </c:cat>
          <c:val>
            <c:numRef>
              <c:f>'Pivot Tables'!$B$58:$B$69</c:f>
              <c:numCache>
                <c:formatCode>_("$"* #,##0_);_("$"* \(#,##0\);_("$"* "-"??_);_(@_)</c:formatCode>
                <c:ptCount val="11"/>
                <c:pt idx="0">
                  <c:v>214.33333333333334</c:v>
                </c:pt>
                <c:pt idx="1">
                  <c:v>169.42857142857142</c:v>
                </c:pt>
                <c:pt idx="2">
                  <c:v>128</c:v>
                </c:pt>
                <c:pt idx="3">
                  <c:v>120.91666666666667</c:v>
                </c:pt>
                <c:pt idx="4">
                  <c:v>118</c:v>
                </c:pt>
                <c:pt idx="5">
                  <c:v>118</c:v>
                </c:pt>
                <c:pt idx="6">
                  <c:v>114.66666666666667</c:v>
                </c:pt>
                <c:pt idx="7">
                  <c:v>111.13333333333334</c:v>
                </c:pt>
                <c:pt idx="8">
                  <c:v>98</c:v>
                </c:pt>
                <c:pt idx="9">
                  <c:v>53.81818181818182</c:v>
                </c:pt>
                <c:pt idx="10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32-430E-99BE-E6BEE9BA216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82885983"/>
        <c:axId val="682492399"/>
      </c:barChart>
      <c:catAx>
        <c:axId val="12828859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bg2">
                    <a:lumMod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82492399"/>
        <c:crosses val="autoZero"/>
        <c:auto val="1"/>
        <c:lblAlgn val="ctr"/>
        <c:lblOffset val="100"/>
        <c:noMultiLvlLbl val="0"/>
      </c:catAx>
      <c:valAx>
        <c:axId val="682492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F85B1C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82885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7E7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[Free People Bestsellers Analysis.xlsx]Pivot Tables!PivotTable6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Average</a:t>
            </a:r>
            <a:r>
              <a:rPr lang="en-US" sz="1600" b="1" baseline="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Rating by Product Category</a:t>
            </a:r>
            <a:endParaRPr lang="en-US" sz="1600" b="1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2">
                      <a:lumMod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Tables'!$B$77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2">
                        <a:lumMod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Tables'!$A$78:$A$89</c:f>
              <c:strCache>
                <c:ptCount val="11"/>
                <c:pt idx="0">
                  <c:v>Sets</c:v>
                </c:pt>
                <c:pt idx="1">
                  <c:v>Jumpsuits</c:v>
                </c:pt>
                <c:pt idx="2">
                  <c:v>Dresses</c:v>
                </c:pt>
                <c:pt idx="3">
                  <c:v>Jackets</c:v>
                </c:pt>
                <c:pt idx="4">
                  <c:v>Pants</c:v>
                </c:pt>
                <c:pt idx="5">
                  <c:v>Sweaters</c:v>
                </c:pt>
                <c:pt idx="6">
                  <c:v>Tops</c:v>
                </c:pt>
                <c:pt idx="7">
                  <c:v>Jeans</c:v>
                </c:pt>
                <c:pt idx="8">
                  <c:v>Accessories</c:v>
                </c:pt>
                <c:pt idx="9">
                  <c:v>Intimates</c:v>
                </c:pt>
                <c:pt idx="10">
                  <c:v>Shoes</c:v>
                </c:pt>
              </c:strCache>
            </c:strRef>
          </c:cat>
          <c:val>
            <c:numRef>
              <c:f>'Pivot Tables'!$B$78:$B$89</c:f>
              <c:numCache>
                <c:formatCode>0.0</c:formatCode>
                <c:ptCount val="11"/>
                <c:pt idx="0">
                  <c:v>4.5</c:v>
                </c:pt>
                <c:pt idx="1">
                  <c:v>4.5</c:v>
                </c:pt>
                <c:pt idx="2">
                  <c:v>4.4000000000000004</c:v>
                </c:pt>
                <c:pt idx="3">
                  <c:v>4.3428571428571425</c:v>
                </c:pt>
                <c:pt idx="4">
                  <c:v>4.3166666666666673</c:v>
                </c:pt>
                <c:pt idx="5">
                  <c:v>4.3</c:v>
                </c:pt>
                <c:pt idx="6">
                  <c:v>4.3</c:v>
                </c:pt>
                <c:pt idx="7">
                  <c:v>4.1999999999999993</c:v>
                </c:pt>
                <c:pt idx="8">
                  <c:v>4.1133333333333342</c:v>
                </c:pt>
                <c:pt idx="9">
                  <c:v>4.0999999999999996</c:v>
                </c:pt>
                <c:pt idx="10">
                  <c:v>4.083333333333333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CC-4EB8-9533-08DD2DA7CCE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96339120"/>
        <c:axId val="1135689648"/>
      </c:barChart>
      <c:catAx>
        <c:axId val="1096339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bg2">
                    <a:lumMod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35689648"/>
        <c:crosses val="autoZero"/>
        <c:auto val="1"/>
        <c:lblAlgn val="ctr"/>
        <c:lblOffset val="100"/>
        <c:noMultiLvlLbl val="0"/>
      </c:catAx>
      <c:valAx>
        <c:axId val="1135689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F85B1C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96339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7E7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[Free People Bestsellers Analysis.xlsx]Pivot Tables!PivotTable7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baseline="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Average Review Count by Product Category</a:t>
            </a:r>
          </a:p>
        </c:rich>
      </c:tx>
      <c:overlay val="0"/>
      <c:spPr>
        <a:solidFill>
          <a:srgbClr val="FFF7E7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2">
                      <a:lumMod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Tables'!$B$95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2">
                        <a:lumMod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Tables'!$A$96:$A$107</c:f>
              <c:strCache>
                <c:ptCount val="11"/>
                <c:pt idx="0">
                  <c:v>Sweaters</c:v>
                </c:pt>
                <c:pt idx="1">
                  <c:v>Jeans</c:v>
                </c:pt>
                <c:pt idx="2">
                  <c:v>Pants</c:v>
                </c:pt>
                <c:pt idx="3">
                  <c:v>Dresses</c:v>
                </c:pt>
                <c:pt idx="4">
                  <c:v>Jackets</c:v>
                </c:pt>
                <c:pt idx="5">
                  <c:v>Tops</c:v>
                </c:pt>
                <c:pt idx="6">
                  <c:v>Accessories</c:v>
                </c:pt>
                <c:pt idx="7">
                  <c:v>Jumpsuits</c:v>
                </c:pt>
                <c:pt idx="8">
                  <c:v>Shoes</c:v>
                </c:pt>
                <c:pt idx="9">
                  <c:v>Intimates</c:v>
                </c:pt>
                <c:pt idx="10">
                  <c:v>Sets</c:v>
                </c:pt>
              </c:strCache>
            </c:strRef>
          </c:cat>
          <c:val>
            <c:numRef>
              <c:f>'Pivot Tables'!$B$96:$B$107</c:f>
              <c:numCache>
                <c:formatCode>0</c:formatCode>
                <c:ptCount val="11"/>
                <c:pt idx="0">
                  <c:v>311.5</c:v>
                </c:pt>
                <c:pt idx="1">
                  <c:v>244</c:v>
                </c:pt>
                <c:pt idx="2">
                  <c:v>233.29166666666666</c:v>
                </c:pt>
                <c:pt idx="3">
                  <c:v>219</c:v>
                </c:pt>
                <c:pt idx="4">
                  <c:v>217.14285714285714</c:v>
                </c:pt>
                <c:pt idx="5">
                  <c:v>175.72727272727272</c:v>
                </c:pt>
                <c:pt idx="6">
                  <c:v>119.73333333333333</c:v>
                </c:pt>
                <c:pt idx="7">
                  <c:v>97</c:v>
                </c:pt>
                <c:pt idx="8">
                  <c:v>49.833333333333336</c:v>
                </c:pt>
                <c:pt idx="9">
                  <c:v>30</c:v>
                </c:pt>
                <c:pt idx="10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B2-4315-B22E-F1A511A2111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08368208"/>
        <c:axId val="1298341455"/>
      </c:barChart>
      <c:catAx>
        <c:axId val="1108368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bg2">
                    <a:lumMod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98341455"/>
        <c:crosses val="autoZero"/>
        <c:auto val="1"/>
        <c:lblAlgn val="ctr"/>
        <c:lblOffset val="100"/>
        <c:noMultiLvlLbl val="0"/>
      </c:catAx>
      <c:valAx>
        <c:axId val="1298341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F85B1C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08368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7E7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[Free People Bestsellers Analysis.xlsx]Pivot Tables!PivotTable3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Product</a:t>
            </a:r>
            <a:r>
              <a:rPr lang="en-US" sz="1600" b="1" baseline="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Count by Category Group</a:t>
            </a:r>
            <a:endParaRPr lang="en-US" sz="1600" b="1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Tables'!$B$113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Tables'!$A$114:$A$117</c:f>
              <c:strCache>
                <c:ptCount val="3"/>
                <c:pt idx="0">
                  <c:v>Apparel</c:v>
                </c:pt>
                <c:pt idx="1">
                  <c:v>Accessories</c:v>
                </c:pt>
                <c:pt idx="2">
                  <c:v>Footwear</c:v>
                </c:pt>
              </c:strCache>
            </c:strRef>
          </c:cat>
          <c:val>
            <c:numRef>
              <c:f>'Pivot Tables'!$B$114:$B$117</c:f>
              <c:numCache>
                <c:formatCode>General</c:formatCode>
                <c:ptCount val="3"/>
                <c:pt idx="0">
                  <c:v>54</c:v>
                </c:pt>
                <c:pt idx="1">
                  <c:v>15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E0-4DBB-95A3-1D77ED3693B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3588735"/>
        <c:axId val="1739403247"/>
      </c:barChart>
      <c:catAx>
        <c:axId val="635887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39403247"/>
        <c:crosses val="autoZero"/>
        <c:auto val="1"/>
        <c:lblAlgn val="ctr"/>
        <c:lblOffset val="100"/>
        <c:noMultiLvlLbl val="0"/>
      </c:catAx>
      <c:valAx>
        <c:axId val="1739403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F85B1C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3588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7E7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[Free People Bestsellers Analysis.xlsx]Pivot Tables!PivotTable1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Free</a:t>
            </a:r>
            <a:r>
              <a:rPr lang="en-US" sz="1600" b="1" baseline="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People Bestsellers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2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2">
                      <a:lumMod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2">
                      <a:lumMod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2">
                      <a:lumMod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2">
                        <a:lumMod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Tables'!$A$4:$A$15</c:f>
              <c:strCache>
                <c:ptCount val="11"/>
                <c:pt idx="0">
                  <c:v>Pants</c:v>
                </c:pt>
                <c:pt idx="1">
                  <c:v>Accessories</c:v>
                </c:pt>
                <c:pt idx="2">
                  <c:v>Tops</c:v>
                </c:pt>
                <c:pt idx="3">
                  <c:v>Jackets</c:v>
                </c:pt>
                <c:pt idx="4">
                  <c:v>Shoes</c:v>
                </c:pt>
                <c:pt idx="5">
                  <c:v>Sweaters</c:v>
                </c:pt>
                <c:pt idx="6">
                  <c:v>Jeans</c:v>
                </c:pt>
                <c:pt idx="7">
                  <c:v>Sets</c:v>
                </c:pt>
                <c:pt idx="8">
                  <c:v>Intimates</c:v>
                </c:pt>
                <c:pt idx="9">
                  <c:v>Dresses</c:v>
                </c:pt>
                <c:pt idx="10">
                  <c:v>Jumpsuits</c:v>
                </c:pt>
              </c:strCache>
            </c:strRef>
          </c:cat>
          <c:val>
            <c:numRef>
              <c:f>'Pivot Tables'!$B$4:$B$15</c:f>
              <c:numCache>
                <c:formatCode>General</c:formatCode>
                <c:ptCount val="11"/>
                <c:pt idx="0">
                  <c:v>24</c:v>
                </c:pt>
                <c:pt idx="1">
                  <c:v>15</c:v>
                </c:pt>
                <c:pt idx="2">
                  <c:v>11</c:v>
                </c:pt>
                <c:pt idx="3">
                  <c:v>7</c:v>
                </c:pt>
                <c:pt idx="4">
                  <c:v>6</c:v>
                </c:pt>
                <c:pt idx="5">
                  <c:v>6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05-4BFE-9F69-2E7ACADFCBE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47654464"/>
        <c:axId val="1242407600"/>
      </c:barChart>
      <c:catAx>
        <c:axId val="12476544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rgbClr val="3A3A3A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42407600"/>
        <c:crosses val="autoZero"/>
        <c:auto val="1"/>
        <c:lblAlgn val="ctr"/>
        <c:lblOffset val="100"/>
        <c:noMultiLvlLbl val="0"/>
      </c:catAx>
      <c:valAx>
        <c:axId val="1242407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F85B1C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47654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7E7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[Free People Bestsellers Analysis.xlsx]Pivot Tables!PivotTable4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Free</a:t>
            </a:r>
            <a:r>
              <a:rPr lang="en-US" sz="1600" b="1" baseline="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People Bestsellers by Color Family</a:t>
            </a:r>
            <a:endParaRPr lang="en-US" sz="1600" b="1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2">
                      <a:lumMod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2">
                      <a:lumMod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2">
                      <a:lumMod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2">
                        <a:lumMod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Tables'!$A$23:$A$36</c:f>
              <c:strCache>
                <c:ptCount val="13"/>
                <c:pt idx="0">
                  <c:v>Earthy Neutral</c:v>
                </c:pt>
                <c:pt idx="1">
                  <c:v>Blue Denim</c:v>
                </c:pt>
                <c:pt idx="2">
                  <c:v>Dark Neutral</c:v>
                </c:pt>
                <c:pt idx="3">
                  <c:v>Pink</c:v>
                </c:pt>
                <c:pt idx="4">
                  <c:v>Off-White</c:v>
                </c:pt>
                <c:pt idx="5">
                  <c:v>White</c:v>
                </c:pt>
                <c:pt idx="6">
                  <c:v>Neutral</c:v>
                </c:pt>
                <c:pt idx="7">
                  <c:v>Green</c:v>
                </c:pt>
                <c:pt idx="8">
                  <c:v>Yellow</c:v>
                </c:pt>
                <c:pt idx="9">
                  <c:v>Red</c:v>
                </c:pt>
                <c:pt idx="10">
                  <c:v>Blue</c:v>
                </c:pt>
                <c:pt idx="11">
                  <c:v>Grey</c:v>
                </c:pt>
                <c:pt idx="12">
                  <c:v>Multicolor</c:v>
                </c:pt>
              </c:strCache>
            </c:strRef>
          </c:cat>
          <c:val>
            <c:numRef>
              <c:f>'Pivot Tables'!$B$23:$B$36</c:f>
              <c:numCache>
                <c:formatCode>General</c:formatCode>
                <c:ptCount val="13"/>
                <c:pt idx="0">
                  <c:v>18</c:v>
                </c:pt>
                <c:pt idx="1">
                  <c:v>12</c:v>
                </c:pt>
                <c:pt idx="2">
                  <c:v>8</c:v>
                </c:pt>
                <c:pt idx="3">
                  <c:v>8</c:v>
                </c:pt>
                <c:pt idx="4">
                  <c:v>5</c:v>
                </c:pt>
                <c:pt idx="5">
                  <c:v>5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D1-45EA-AB91-2F72E9F7E9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08454976"/>
        <c:axId val="682478959"/>
      </c:barChart>
      <c:catAx>
        <c:axId val="11084549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rgbClr val="3A3A3A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82478959"/>
        <c:crosses val="autoZero"/>
        <c:auto val="1"/>
        <c:lblAlgn val="ctr"/>
        <c:lblOffset val="100"/>
        <c:noMultiLvlLbl val="0"/>
      </c:catAx>
      <c:valAx>
        <c:axId val="682478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F85B1C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08454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7E7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[Free People Bestsellers Analysis.xlsx]Pivot Tables!PivotTable2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Free People Bestsellers by Material Type</a:t>
            </a:r>
          </a:p>
        </c:rich>
      </c:tx>
      <c:layout>
        <c:manualLayout>
          <c:xMode val="edge"/>
          <c:yMode val="edge"/>
          <c:x val="0.18215611527606684"/>
          <c:y val="3.72864564228452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accent2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2">
                      <a:lumMod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2">
                      <a:lumMod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2">
                      <a:lumMod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Tables'!$B$44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2">
                        <a:lumMod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Tables'!$A$45:$A$48</c:f>
              <c:strCache>
                <c:ptCount val="3"/>
                <c:pt idx="0">
                  <c:v>Natural</c:v>
                </c:pt>
                <c:pt idx="1">
                  <c:v>Blend</c:v>
                </c:pt>
                <c:pt idx="2">
                  <c:v>Synthetic</c:v>
                </c:pt>
              </c:strCache>
            </c:strRef>
          </c:cat>
          <c:val>
            <c:numRef>
              <c:f>'Pivot Tables'!$B$45:$B$48</c:f>
              <c:numCache>
                <c:formatCode>General</c:formatCode>
                <c:ptCount val="3"/>
                <c:pt idx="0">
                  <c:v>41</c:v>
                </c:pt>
                <c:pt idx="1">
                  <c:v>27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4E-4844-B6B7-7DCD28D740C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82912895"/>
        <c:axId val="1068337904"/>
      </c:barChart>
      <c:catAx>
        <c:axId val="12829128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2">
                    <a:lumMod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68337904"/>
        <c:crosses val="autoZero"/>
        <c:auto val="1"/>
        <c:lblAlgn val="ctr"/>
        <c:lblOffset val="100"/>
        <c:noMultiLvlLbl val="0"/>
      </c:catAx>
      <c:valAx>
        <c:axId val="1068337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F85B1C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82912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7E7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[Free People Bestsellers Analysis.xlsx]Pivot Tables!PivotTable5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600" b="1">
                <a:solidFill>
                  <a:schemeClr val="accent2">
                    <a:lumMod val="75000"/>
                  </a:schemeClr>
                </a:solidFill>
              </a:rPr>
              <a:t>Average Price by Product Category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2">
                      <a:lumMod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2">
                      <a:lumMod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2">
                      <a:lumMod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Tables'!$B$57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2">
                        <a:lumMod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Tables'!$A$58:$A$69</c:f>
              <c:strCache>
                <c:ptCount val="11"/>
                <c:pt idx="0">
                  <c:v>Shoes</c:v>
                </c:pt>
                <c:pt idx="1">
                  <c:v>Jackets</c:v>
                </c:pt>
                <c:pt idx="2">
                  <c:v>Sets</c:v>
                </c:pt>
                <c:pt idx="3">
                  <c:v>Pants</c:v>
                </c:pt>
                <c:pt idx="4">
                  <c:v>Dresses</c:v>
                </c:pt>
                <c:pt idx="5">
                  <c:v>Jeans</c:v>
                </c:pt>
                <c:pt idx="6">
                  <c:v>Sweaters</c:v>
                </c:pt>
                <c:pt idx="7">
                  <c:v>Accessories</c:v>
                </c:pt>
                <c:pt idx="8">
                  <c:v>Jumpsuits</c:v>
                </c:pt>
                <c:pt idx="9">
                  <c:v>Tops</c:v>
                </c:pt>
                <c:pt idx="10">
                  <c:v>Intimates</c:v>
                </c:pt>
              </c:strCache>
            </c:strRef>
          </c:cat>
          <c:val>
            <c:numRef>
              <c:f>'Pivot Tables'!$B$58:$B$69</c:f>
              <c:numCache>
                <c:formatCode>_("$"* #,##0_);_("$"* \(#,##0\);_("$"* "-"??_);_(@_)</c:formatCode>
                <c:ptCount val="11"/>
                <c:pt idx="0">
                  <c:v>214.33333333333334</c:v>
                </c:pt>
                <c:pt idx="1">
                  <c:v>169.42857142857142</c:v>
                </c:pt>
                <c:pt idx="2">
                  <c:v>128</c:v>
                </c:pt>
                <c:pt idx="3">
                  <c:v>120.91666666666667</c:v>
                </c:pt>
                <c:pt idx="4">
                  <c:v>118</c:v>
                </c:pt>
                <c:pt idx="5">
                  <c:v>118</c:v>
                </c:pt>
                <c:pt idx="6">
                  <c:v>114.66666666666667</c:v>
                </c:pt>
                <c:pt idx="7">
                  <c:v>111.13333333333334</c:v>
                </c:pt>
                <c:pt idx="8">
                  <c:v>98</c:v>
                </c:pt>
                <c:pt idx="9">
                  <c:v>53.81818181818182</c:v>
                </c:pt>
                <c:pt idx="10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0B-4EA0-82DD-F85DDFBC2DB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82885983"/>
        <c:axId val="682492399"/>
      </c:barChart>
      <c:catAx>
        <c:axId val="12828859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2">
                    <a:lumMod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82492399"/>
        <c:crosses val="autoZero"/>
        <c:auto val="1"/>
        <c:lblAlgn val="ctr"/>
        <c:lblOffset val="100"/>
        <c:noMultiLvlLbl val="0"/>
      </c:catAx>
      <c:valAx>
        <c:axId val="682492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F85B1C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82885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7E7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[Free People Bestsellers Analysis.xlsx]Pivot Tables!PivotTable6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Average</a:t>
            </a:r>
            <a:r>
              <a:rPr lang="en-US" sz="1600" b="1" baseline="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Rating by Product Category</a:t>
            </a:r>
            <a:endParaRPr lang="en-US" sz="1600" b="1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2">
                      <a:lumMod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2">
                      <a:lumMod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2">
                      <a:lumMod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Tables'!$B$77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2">
                        <a:lumMod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Tables'!$A$78:$A$89</c:f>
              <c:strCache>
                <c:ptCount val="11"/>
                <c:pt idx="0">
                  <c:v>Sets</c:v>
                </c:pt>
                <c:pt idx="1">
                  <c:v>Jumpsuits</c:v>
                </c:pt>
                <c:pt idx="2">
                  <c:v>Dresses</c:v>
                </c:pt>
                <c:pt idx="3">
                  <c:v>Jackets</c:v>
                </c:pt>
                <c:pt idx="4">
                  <c:v>Pants</c:v>
                </c:pt>
                <c:pt idx="5">
                  <c:v>Sweaters</c:v>
                </c:pt>
                <c:pt idx="6">
                  <c:v>Tops</c:v>
                </c:pt>
                <c:pt idx="7">
                  <c:v>Jeans</c:v>
                </c:pt>
                <c:pt idx="8">
                  <c:v>Accessories</c:v>
                </c:pt>
                <c:pt idx="9">
                  <c:v>Intimates</c:v>
                </c:pt>
                <c:pt idx="10">
                  <c:v>Shoes</c:v>
                </c:pt>
              </c:strCache>
            </c:strRef>
          </c:cat>
          <c:val>
            <c:numRef>
              <c:f>'Pivot Tables'!$B$78:$B$89</c:f>
              <c:numCache>
                <c:formatCode>0.0</c:formatCode>
                <c:ptCount val="11"/>
                <c:pt idx="0">
                  <c:v>4.5</c:v>
                </c:pt>
                <c:pt idx="1">
                  <c:v>4.5</c:v>
                </c:pt>
                <c:pt idx="2">
                  <c:v>4.4000000000000004</c:v>
                </c:pt>
                <c:pt idx="3">
                  <c:v>4.3428571428571425</c:v>
                </c:pt>
                <c:pt idx="4">
                  <c:v>4.3166666666666673</c:v>
                </c:pt>
                <c:pt idx="5">
                  <c:v>4.3</c:v>
                </c:pt>
                <c:pt idx="6">
                  <c:v>4.3</c:v>
                </c:pt>
                <c:pt idx="7">
                  <c:v>4.1999999999999993</c:v>
                </c:pt>
                <c:pt idx="8">
                  <c:v>4.1133333333333342</c:v>
                </c:pt>
                <c:pt idx="9">
                  <c:v>4.0999999999999996</c:v>
                </c:pt>
                <c:pt idx="10">
                  <c:v>4.083333333333333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41-4F0A-8629-A74973DD251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96339120"/>
        <c:axId val="1135689648"/>
      </c:barChart>
      <c:catAx>
        <c:axId val="1096339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bg2">
                    <a:lumMod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35689648"/>
        <c:crosses val="autoZero"/>
        <c:auto val="1"/>
        <c:lblAlgn val="ctr"/>
        <c:lblOffset val="100"/>
        <c:noMultiLvlLbl val="0"/>
      </c:catAx>
      <c:valAx>
        <c:axId val="1135689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F85B1C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96339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7E7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[Free People Bestsellers Analysis.xlsx]Pivot Tables!PivotTable7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baseline="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Average Review Count by Product Category</a:t>
            </a:r>
          </a:p>
        </c:rich>
      </c:tx>
      <c:overlay val="0"/>
      <c:spPr>
        <a:solidFill>
          <a:srgbClr val="FFF7E7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2">
                      <a:lumMod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2">
                      <a:lumMod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2">
                      <a:lumMod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Tables'!$B$95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2">
                        <a:lumMod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Tables'!$A$96:$A$107</c:f>
              <c:strCache>
                <c:ptCount val="11"/>
                <c:pt idx="0">
                  <c:v>Sweaters</c:v>
                </c:pt>
                <c:pt idx="1">
                  <c:v>Jeans</c:v>
                </c:pt>
                <c:pt idx="2">
                  <c:v>Pants</c:v>
                </c:pt>
                <c:pt idx="3">
                  <c:v>Dresses</c:v>
                </c:pt>
                <c:pt idx="4">
                  <c:v>Jackets</c:v>
                </c:pt>
                <c:pt idx="5">
                  <c:v>Tops</c:v>
                </c:pt>
                <c:pt idx="6">
                  <c:v>Accessories</c:v>
                </c:pt>
                <c:pt idx="7">
                  <c:v>Jumpsuits</c:v>
                </c:pt>
                <c:pt idx="8">
                  <c:v>Shoes</c:v>
                </c:pt>
                <c:pt idx="9">
                  <c:v>Intimates</c:v>
                </c:pt>
                <c:pt idx="10">
                  <c:v>Sets</c:v>
                </c:pt>
              </c:strCache>
            </c:strRef>
          </c:cat>
          <c:val>
            <c:numRef>
              <c:f>'Pivot Tables'!$B$96:$B$107</c:f>
              <c:numCache>
                <c:formatCode>0</c:formatCode>
                <c:ptCount val="11"/>
                <c:pt idx="0">
                  <c:v>311.5</c:v>
                </c:pt>
                <c:pt idx="1">
                  <c:v>244</c:v>
                </c:pt>
                <c:pt idx="2">
                  <c:v>233.29166666666666</c:v>
                </c:pt>
                <c:pt idx="3">
                  <c:v>219</c:v>
                </c:pt>
                <c:pt idx="4">
                  <c:v>217.14285714285714</c:v>
                </c:pt>
                <c:pt idx="5">
                  <c:v>175.72727272727272</c:v>
                </c:pt>
                <c:pt idx="6">
                  <c:v>119.73333333333333</c:v>
                </c:pt>
                <c:pt idx="7">
                  <c:v>97</c:v>
                </c:pt>
                <c:pt idx="8">
                  <c:v>49.833333333333336</c:v>
                </c:pt>
                <c:pt idx="9">
                  <c:v>30</c:v>
                </c:pt>
                <c:pt idx="10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7A-4A5E-9E43-117461E277E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08368208"/>
        <c:axId val="1298341455"/>
      </c:barChart>
      <c:catAx>
        <c:axId val="1108368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bg2">
                    <a:lumMod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98341455"/>
        <c:crosses val="autoZero"/>
        <c:auto val="1"/>
        <c:lblAlgn val="ctr"/>
        <c:lblOffset val="100"/>
        <c:noMultiLvlLbl val="0"/>
      </c:catAx>
      <c:valAx>
        <c:axId val="1298341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F85B1C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08368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7E7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29442</xdr:colOff>
      <xdr:row>0</xdr:row>
      <xdr:rowOff>199271</xdr:rowOff>
    </xdr:from>
    <xdr:to>
      <xdr:col>12</xdr:col>
      <xdr:colOff>565276</xdr:colOff>
      <xdr:row>15</xdr:row>
      <xdr:rowOff>103401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C82DBF-7650-7704-F603-3074799130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2388</xdr:colOff>
      <xdr:row>19</xdr:row>
      <xdr:rowOff>158750</xdr:rowOff>
    </xdr:from>
    <xdr:to>
      <xdr:col>13</xdr:col>
      <xdr:colOff>0</xdr:colOff>
      <xdr:row>35</xdr:row>
      <xdr:rowOff>170961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7E5382-1F12-4311-EC6A-EE4C889931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592850</xdr:colOff>
      <xdr:row>40</xdr:row>
      <xdr:rowOff>120146</xdr:rowOff>
    </xdr:from>
    <xdr:to>
      <xdr:col>12</xdr:col>
      <xdr:colOff>412434</xdr:colOff>
      <xdr:row>50</xdr:row>
      <xdr:rowOff>37350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C166B03-7159-4650-B95C-890927F993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6739</xdr:colOff>
      <xdr:row>54</xdr:row>
      <xdr:rowOff>73269</xdr:rowOff>
    </xdr:from>
    <xdr:to>
      <xdr:col>13</xdr:col>
      <xdr:colOff>0</xdr:colOff>
      <xdr:row>69</xdr:row>
      <xdr:rowOff>18853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B917319-D938-A224-C2A4-E6364BA1D1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10583</xdr:colOff>
      <xdr:row>73</xdr:row>
      <xdr:rowOff>190944</xdr:rowOff>
    </xdr:from>
    <xdr:to>
      <xdr:col>12</xdr:col>
      <xdr:colOff>430161</xdr:colOff>
      <xdr:row>88</xdr:row>
      <xdr:rowOff>66578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F28869E-DE81-1316-8764-4550B988E7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7509</xdr:colOff>
      <xdr:row>91</xdr:row>
      <xdr:rowOff>177654</xdr:rowOff>
    </xdr:from>
    <xdr:to>
      <xdr:col>12</xdr:col>
      <xdr:colOff>436246</xdr:colOff>
      <xdr:row>107</xdr:row>
      <xdr:rowOff>9595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8D23D9F-70F2-3E66-4111-1500364D82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597893</xdr:colOff>
      <xdr:row>110</xdr:row>
      <xdr:rowOff>14499</xdr:rowOff>
    </xdr:from>
    <xdr:to>
      <xdr:col>12</xdr:col>
      <xdr:colOff>365125</xdr:colOff>
      <xdr:row>123</xdr:row>
      <xdr:rowOff>159554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C973E6C-31AD-FED3-6B06-C2B5A93F4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2</xdr:row>
      <xdr:rowOff>114300</xdr:rowOff>
    </xdr:from>
    <xdr:to>
      <xdr:col>3</xdr:col>
      <xdr:colOff>243280</xdr:colOff>
      <xdr:row>18</xdr:row>
      <xdr:rowOff>55972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DA35E2-CBAB-434E-A97E-53491ABACD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241679</xdr:colOff>
      <xdr:row>2</xdr:row>
      <xdr:rowOff>142164</xdr:rowOff>
    </xdr:from>
    <xdr:to>
      <xdr:col>13</xdr:col>
      <xdr:colOff>190143</xdr:colOff>
      <xdr:row>18</xdr:row>
      <xdr:rowOff>72472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64F34E4-93D0-48F7-B8D6-64413B9029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300244</xdr:colOff>
      <xdr:row>23</xdr:row>
      <xdr:rowOff>161441</xdr:rowOff>
    </xdr:from>
    <xdr:to>
      <xdr:col>3</xdr:col>
      <xdr:colOff>209873</xdr:colOff>
      <xdr:row>34</xdr:row>
      <xdr:rowOff>90252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F1F4F8B-FFA9-46CD-86BF-5C22BFDD50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248997</xdr:colOff>
      <xdr:row>22</xdr:row>
      <xdr:rowOff>39999</xdr:rowOff>
    </xdr:from>
    <xdr:to>
      <xdr:col>13</xdr:col>
      <xdr:colOff>134936</xdr:colOff>
      <xdr:row>37</xdr:row>
      <xdr:rowOff>136999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D41B671-A8D0-4FF1-81AA-2F6A3B65B2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198790</xdr:colOff>
      <xdr:row>41</xdr:row>
      <xdr:rowOff>23854</xdr:rowOff>
    </xdr:from>
    <xdr:to>
      <xdr:col>3</xdr:col>
      <xdr:colOff>150358</xdr:colOff>
      <xdr:row>56</xdr:row>
      <xdr:rowOff>95986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478D157-A237-48E5-AC31-0EF48F1725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262160</xdr:colOff>
      <xdr:row>41</xdr:row>
      <xdr:rowOff>157583</xdr:rowOff>
    </xdr:from>
    <xdr:to>
      <xdr:col>13</xdr:col>
      <xdr:colOff>69942</xdr:colOff>
      <xdr:row>57</xdr:row>
      <xdr:rowOff>170927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3575DC3-C9BE-4B44-8156-20C6640C0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équel DeFini" refreshedDate="46157.90525787037" createdVersion="8" refreshedVersion="8" minRefreshableVersion="3" recordCount="75" xr:uid="{A4E90F90-4670-4703-9518-A322EB002610}">
  <cacheSource type="worksheet">
    <worksheetSource ref="A2:T77" sheet="Cleaned Data"/>
  </cacheSource>
  <cacheFields count="20">
    <cacheField name="Product Name" numFmtId="0">
      <sharedItems count="73">
        <s v="Opal Rollneck Knit Sweater"/>
        <s v="Spotlight Washed Barrel Chino Trousers"/>
        <s v="Better On Sweatshirt"/>
        <s v="Chelsea Funnel-Neck Jacket"/>
        <s v="Margaux Tank"/>
        <s v="Ventura Oversized Aviator Sunglasses"/>
        <s v="We The Free Good Luck Barrel Overalls"/>
        <s v="We The Free Baby Emerson Tote Bag"/>
        <s v="Margot SoftSpun Sweater Tee"/>
        <s v="So Soft Seamless Modal Long Sleeve"/>
        <s v="Sailor Straw Hat"/>
        <s v="So Silk Badana"/>
        <s v="See You Soon Studded Tote"/>
        <s v="We The Free Peggy Tee"/>
        <s v="Opal Knit Cardi"/>
        <s v="Mismatch Magnolia Sandals"/>
        <s v="We The Free Opal Swing Denim Jacket"/>
        <s v="Jojo Washed Oversized Funnel-Neck Jacket"/>
        <s v="Dolman Quilted Knit Jacket"/>
        <s v="We The Free Truro Baggy Puddle Jeans"/>
        <s v="We The Free Tennessee Low-Rise Boyfriend Jeans"/>
        <s v="Porta Cashmere Henley Sweater"/>
        <s v="We The Free Nova Tee"/>
        <s v="We The Free Emerson Tote Bag"/>
        <s v="Roma Suede Tote Bag"/>
        <s v="See Me SoftSpun Cardigan"/>
        <s v="We The Free Love Me Not Bloomer Jeans"/>
        <s v="Rhea Leather Belt"/>
        <s v="We The Free Protagonist Cropped Cap Sleeve Tee"/>
        <s v="Frye Campus 14L Boots"/>
        <s v="We The Free Palm Springs Pullover"/>
        <s v="Lady Lux Layering Top"/>
        <s v="Sabo East West Bag"/>
        <s v="Tilly Skinny Silk Convertible Scarf"/>
        <s v="We The Free Montana Shorts"/>
        <s v="VIBAe Roma Mules"/>
        <s v="We The Free Baby Asher Tote"/>
        <s v="We The Free Fringe Out Vegan Suede Jacket"/>
        <s v="Belle Rosette Claw Clip"/>
        <s v="Understated Leather Wide Eyes Suede Fringe Collar"/>
        <s v="Moonflower Pull-On Balloon Pants"/>
        <s v="Lotty Jacquard Band Jacket"/>
        <s v="Salomon XT-6"/>
        <s v="Rhodes Stud Belt"/>
        <s v="We The Free Ashton Crop Pull-On Cargo Pants"/>
        <s v="We The Free Perfect Oversized Tee"/>
        <s v="We The Free Camden Sweatshirt"/>
        <s v="We The Free Brentwood Slouchy Cargo Pants"/>
        <s v="New Balance 9060 Sneakers"/>
        <s v="We The Free Good Luck Mid-Rise Barrel Jeans"/>
        <s v="We The Free Highland Low-Rise Twisted Bowed Jeans"/>
        <s v="We The Free Freebird Jumpsuit"/>
        <s v="Day's End Linen Pull-On Pants"/>
        <s v="Something Good Pull-On Barrel Pants"/>
        <s v="We The Free Onset Pull-On Cargo Pants"/>
        <s v="We The Free Lotus Balloon Jeans"/>
        <s v="We The Free Fable Low-Rise Twisted Bowed Jeans"/>
        <s v="We The Free Breezy Denim Pull-On Jeans"/>
        <s v="We The Free Lay Down Chino Trousers"/>
        <s v="We The Free Jude Shortalls"/>
        <s v="Dixie Maxi Dress"/>
        <s v="Over The Rainbow Sweater Set"/>
        <s v="We The Free Jamie Henley"/>
        <s v="We The Free Waimea Slouchy Shorts"/>
        <s v="End Game Pointelle Tank"/>
        <s v="We The Free Tahiti Pull-On Cargo Pants"/>
        <s v="We The Free Moxie Barrel Shorts"/>
        <s v="We The Free Madison City Denim Jacket"/>
        <s v="Petal Party Lace Plunge Bralette"/>
        <s v="We The Free Moxie Pull-On Barrel Jeans"/>
        <s v="Gola Elan Sneakers"/>
        <s v="We The Free Libre Wide-Leg Jeans"/>
        <s v="We The Free Scorpio Shirred Mid-Rise Cargo Pants"/>
      </sharedItems>
    </cacheField>
    <cacheField name="Style No." numFmtId="0">
      <sharedItems containsMixedTypes="1" containsNumber="1" containsInteger="1" minValue="58381005" maxValue="107496283"/>
    </cacheField>
    <cacheField name="Product Category" numFmtId="0">
      <sharedItems count="12">
        <s v="Sweaters"/>
        <s v="Pants"/>
        <s v="Tops"/>
        <s v="Jackets"/>
        <s v="Accessories"/>
        <s v="Jeans"/>
        <s v="Shoes"/>
        <s v="Jumpsuits"/>
        <s v="Dresses"/>
        <s v="Sets"/>
        <s v="Intimates"/>
        <s v="Beauty + Wellness" u="1"/>
      </sharedItems>
    </cacheField>
    <cacheField name="Category Group" numFmtId="0">
      <sharedItems count="3">
        <s v="Apparel"/>
        <s v="Accessories"/>
        <s v="Footwear"/>
      </sharedItems>
    </cacheField>
    <cacheField name="Subcategory" numFmtId="0">
      <sharedItems/>
    </cacheField>
    <cacheField name="Price" numFmtId="44">
      <sharedItems containsSemiMixedTypes="0" containsString="0" containsNumber="1" containsInteger="1" minValue="18" maxValue="498"/>
    </cacheField>
    <cacheField name="Original Price" numFmtId="44">
      <sharedItems containsSemiMixedTypes="0" containsString="0" containsNumber="1" containsInteger="1" minValue="18" maxValue="498"/>
    </cacheField>
    <cacheField name="Sale Status" numFmtId="0">
      <sharedItems/>
    </cacheField>
    <cacheField name="Discount %" numFmtId="9">
      <sharedItems containsSemiMixedTypes="0" containsString="0" containsNumber="1" containsInteger="1" minValue="0" maxValue="0"/>
    </cacheField>
    <cacheField name="Primary Color" numFmtId="0">
      <sharedItems/>
    </cacheField>
    <cacheField name="Color Family" numFmtId="0">
      <sharedItems count="14">
        <s v="Earthy Neutral"/>
        <s v="Neutral"/>
        <s v="White"/>
        <s v="Grey"/>
        <s v="Dark Neutral"/>
        <s v="Blue Denim"/>
        <s v="Yellow"/>
        <s v="Off-White"/>
        <s v="Green"/>
        <s v="Blue"/>
        <s v="Pink"/>
        <s v="Red"/>
        <s v="Multicolor"/>
        <s v="N/A" u="1"/>
      </sharedItems>
    </cacheField>
    <cacheField name="Fabric/Material" numFmtId="0">
      <sharedItems/>
    </cacheField>
    <cacheField name="Material Type" numFmtId="0">
      <sharedItems count="3">
        <s v="Blend"/>
        <s v="Natural"/>
        <s v="Synthetic"/>
      </sharedItems>
    </cacheField>
    <cacheField name="Pattern/Print" numFmtId="0">
      <sharedItems/>
    </cacheField>
    <cacheField name="Style/aesthetic" numFmtId="0">
      <sharedItems/>
    </cacheField>
    <cacheField name="Rating (Stars)" numFmtId="164">
      <sharedItems containsSemiMixedTypes="0" containsString="0" containsNumber="1" minValue="3.3" maxValue="4.9000000000000004"/>
    </cacheField>
    <cacheField name="Number of Reviews" numFmtId="1">
      <sharedItems containsSemiMixedTypes="0" containsString="0" containsNumber="1" containsInteger="1" minValue="6" maxValue="1595"/>
    </cacheField>
    <cacheField name="Availability" numFmtId="0">
      <sharedItems/>
    </cacheField>
    <cacheField name="Color Options Count" numFmtId="0">
      <sharedItems containsSemiMixedTypes="0" containsString="0" containsNumber="1" containsInteger="1" minValue="1" maxValue="19"/>
    </cacheField>
    <cacheField name="Notes 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x v="0"/>
    <s v="100632421"/>
    <x v="0"/>
    <x v="0"/>
    <s v="Pullovers"/>
    <n v="98"/>
    <n v="98"/>
    <s v="Full Price"/>
    <n v="0"/>
    <s v="Tea"/>
    <x v="0"/>
    <s v="BCI Cotton, Acrylic"/>
    <x v="0"/>
    <s v="Textured Knit"/>
    <s v="Casual Basic"/>
    <n v="4.2"/>
    <n v="240"/>
    <s v="Limited Availability"/>
    <n v="15"/>
    <s v="57% BCI Cotton, 43% Acrylic; Oversized textured knit; Sizes: S and M unavailable"/>
  </r>
  <r>
    <x v="1"/>
    <s v="103179669"/>
    <x v="1"/>
    <x v="0"/>
    <s v="Chino Trousers"/>
    <n v="128"/>
    <n v="128"/>
    <s v="Full Price"/>
    <n v="0"/>
    <s v="Tofu"/>
    <x v="1"/>
    <s v="Cotton, Rayon, Linen"/>
    <x v="0"/>
    <s v="Solid"/>
    <s v="Casual Basic"/>
    <n v="4.3"/>
    <n v="160"/>
    <s v="Available"/>
    <n v="9"/>
    <s v="56% Cotton, 32% Rayon, 12% Linen; Sizes run small"/>
  </r>
  <r>
    <x v="1"/>
    <s v="103179669"/>
    <x v="1"/>
    <x v="0"/>
    <s v="Chino Trousers"/>
    <n v="128"/>
    <n v="128"/>
    <s v="Full Price"/>
    <n v="0"/>
    <s v="Dusty Olive"/>
    <x v="0"/>
    <s v="Cotton, Rayon, Linen"/>
    <x v="0"/>
    <s v="Solid"/>
    <s v="Casual Basic"/>
    <n v="4.3"/>
    <n v="160"/>
    <s v="Limited Availability"/>
    <n v="9"/>
    <s v="56% Cotton, 32% Rayon, 12% Linen; Sizes run small; Long fit size unavailable"/>
  </r>
  <r>
    <x v="2"/>
    <s v="100458652"/>
    <x v="2"/>
    <x v="0"/>
    <s v="Hoodies + Sweatshirts"/>
    <n v="78"/>
    <n v="78"/>
    <s v="Full Price"/>
    <n v="0"/>
    <s v="Coconut Milk"/>
    <x v="2"/>
    <s v="Cotton"/>
    <x v="1"/>
    <s v="Solid"/>
    <s v="Basic Casual"/>
    <n v="4.4000000000000004"/>
    <n v="31"/>
    <s v="Available"/>
    <n v="8"/>
    <s v="100% Cotton; Oversized"/>
  </r>
  <r>
    <x v="3"/>
    <s v="107456675"/>
    <x v="3"/>
    <x v="0"/>
    <s v="Funnel-Neck Jackets"/>
    <n v="168"/>
    <n v="168"/>
    <s v="Full Price"/>
    <n v="0"/>
    <s v="Flint Stone"/>
    <x v="3"/>
    <s v="Polyester, Cotton, Polyamide"/>
    <x v="0"/>
    <s v="Solid"/>
    <s v="Casual Basic"/>
    <n v="4.3"/>
    <n v="11"/>
    <s v="Available"/>
    <n v="4"/>
    <s v="49% Polyester, 41% Cotton, 10% Polyamide ; Low review count"/>
  </r>
  <r>
    <x v="4"/>
    <n v="107496283"/>
    <x v="2"/>
    <x v="0"/>
    <s v="Tanks"/>
    <n v="78"/>
    <n v="78"/>
    <s v="Full Price"/>
    <n v="0"/>
    <s v="White Swan"/>
    <x v="2"/>
    <s v="Polyester"/>
    <x v="2"/>
    <s v="Solid"/>
    <s v="Casual Basic"/>
    <n v="4.3"/>
    <n v="8"/>
    <s v="Available"/>
    <n v="5"/>
    <s v="100% Polyester; Sizes run small; Low review count"/>
  </r>
  <r>
    <x v="5"/>
    <s v="60094133"/>
    <x v="4"/>
    <x v="1"/>
    <s v="Sunglasses + Eyewear"/>
    <n v="25"/>
    <n v="25"/>
    <s v="Full Price"/>
    <n v="0"/>
    <s v="Black/Berry"/>
    <x v="4"/>
    <s v="Base Metal, Plastic"/>
    <x v="0"/>
    <s v="Solid"/>
    <s v="Retro Aviator"/>
    <n v="3.4"/>
    <n v="139"/>
    <s v="Available"/>
    <n v="6"/>
    <s v="Oversized; Low rating"/>
  </r>
  <r>
    <x v="6"/>
    <s v="86798519"/>
    <x v="5"/>
    <x v="0"/>
    <s v="Overalls + Jumpsuits"/>
    <n v="148"/>
    <n v="148"/>
    <s v="Full Price"/>
    <n v="0"/>
    <s v="Ultra Light Beam"/>
    <x v="5"/>
    <s v="   "/>
    <x v="0"/>
    <s v="Solid"/>
    <s v="Casual Basic"/>
    <n v="4.3"/>
    <n v="451"/>
    <s v="Limited Availability"/>
    <n v="9"/>
    <s v="Limited sizes: only L and XL available; Long fit unavailable"/>
  </r>
  <r>
    <x v="7"/>
    <s v="97540942"/>
    <x v="4"/>
    <x v="1"/>
    <s v="Bags"/>
    <n v="178"/>
    <n v="178"/>
    <s v="Full Price"/>
    <n v="0"/>
    <s v="Salt"/>
    <x v="2"/>
    <s v="Leather"/>
    <x v="1"/>
    <s v="Solid"/>
    <s v="Everyday Classic"/>
    <n v="4.3"/>
    <n v="415"/>
    <s v="Available"/>
    <n v="9"/>
    <s v="100% Leather"/>
  </r>
  <r>
    <x v="8"/>
    <s v="101764561"/>
    <x v="2"/>
    <x v="0"/>
    <s v="Tees"/>
    <n v="98"/>
    <n v="98"/>
    <s v="Full Price"/>
    <n v="0"/>
    <s v="Marigold Melange"/>
    <x v="6"/>
    <s v="Polyester, Acrylic, Polyamide, Elastane"/>
    <x v="2"/>
    <s v="Solid"/>
    <s v="Casual Basic"/>
    <n v="4"/>
    <n v="43"/>
    <s v="Available"/>
    <n v="13"/>
    <s v="54% Polyester, 36% Acrylic, 7% Polyamide, 3% Elastane; Oversized; XL unavailable"/>
  </r>
  <r>
    <x v="9"/>
    <s v="101347284"/>
    <x v="2"/>
    <x v="0"/>
    <s v="Intimates"/>
    <n v="40"/>
    <n v="40"/>
    <s v="Full Price"/>
    <n v="0"/>
    <s v="Whispering Willow"/>
    <x v="0"/>
    <s v="Polyamide, Elastane, Modal"/>
    <x v="0"/>
    <s v="Solid"/>
    <s v="Intimates"/>
    <n v="4.2"/>
    <n v="81"/>
    <s v="Limited Availability"/>
    <n v="12"/>
    <s v="15% Polyamide, 5% Elastane, 80% Modal; Runs small; Sizes: M and L unavailable"/>
  </r>
  <r>
    <x v="10"/>
    <s v="107645277"/>
    <x v="4"/>
    <x v="1"/>
    <s v="Hats"/>
    <n v="38"/>
    <n v="38"/>
    <s v="Full Price"/>
    <n v="0"/>
    <s v="Neutral"/>
    <x v="1"/>
    <s v="Paper"/>
    <x v="1"/>
    <s v="Woven/Open Weave"/>
    <s v="Everyday Classic"/>
    <n v="4.5999999999999996"/>
    <n v="7"/>
    <s v="Available"/>
    <n v="5"/>
    <s v="100% Paper; Low review count"/>
  </r>
  <r>
    <x v="11"/>
    <s v="96577754"/>
    <x v="4"/>
    <x v="1"/>
    <s v="Scarves + Bandanas"/>
    <n v="48"/>
    <n v="48"/>
    <s v="Full Price"/>
    <n v="0"/>
    <s v="Springtime Print Chocolate"/>
    <x v="0"/>
    <s v="Silk"/>
    <x v="1"/>
    <s v="Paisley Print"/>
    <s v="Everyday Classic"/>
    <n v="4"/>
    <n v="42"/>
    <s v="Available"/>
    <n v="13"/>
    <s v="100% Silk"/>
  </r>
  <r>
    <x v="12"/>
    <s v="100468586"/>
    <x v="4"/>
    <x v="1"/>
    <s v="Bags"/>
    <n v="198"/>
    <n v="198"/>
    <s v="Full Price"/>
    <n v="0"/>
    <s v="Bitter Bark"/>
    <x v="4"/>
    <s v="Leather"/>
    <x v="1"/>
    <s v="Solid/Studded"/>
    <s v="Everyday Classic"/>
    <n v="4.0999999999999996"/>
    <n v="7"/>
    <s v="Available"/>
    <n v="2"/>
    <s v="100% Leather; Studded; Low review count"/>
  </r>
  <r>
    <x v="13"/>
    <s v="107581175"/>
    <x v="2"/>
    <x v="0"/>
    <s v="Tees"/>
    <n v="48"/>
    <n v="48"/>
    <s v="Full Price"/>
    <n v="0"/>
    <s v="Clean Ivory"/>
    <x v="7"/>
    <s v="Cotton"/>
    <x v="1"/>
    <s v="Solid"/>
    <s v="Casual Basic"/>
    <n v="4.3"/>
    <n v="22"/>
    <s v="Limited Availability"/>
    <n v="7"/>
    <s v="100% Cotton; Limited sizes: only sizes: L and XL available"/>
  </r>
  <r>
    <x v="14"/>
    <s v="105616825"/>
    <x v="0"/>
    <x v="0"/>
    <s v="Cardigans"/>
    <n v="168"/>
    <n v="168"/>
    <s v="Full Price"/>
    <n v="0"/>
    <s v="Black"/>
    <x v="4"/>
    <s v="Cotton, Acrylic"/>
    <x v="0"/>
    <s v="Textured Knit"/>
    <s v="Cozy"/>
    <n v="4"/>
    <n v="33"/>
    <s v="Available"/>
    <n v="3"/>
    <s v="57% Cotton, 43% Acrylic"/>
  </r>
  <r>
    <x v="15"/>
    <s v="99005373"/>
    <x v="6"/>
    <x v="2"/>
    <s v="Sandals"/>
    <n v="128"/>
    <n v="128"/>
    <s v="Full Price"/>
    <n v="0"/>
    <s v="Tan Suede"/>
    <x v="0"/>
    <s v="Leather, Rubber"/>
    <x v="0"/>
    <s v="Solid/Floral Detail"/>
    <s v="Everyday Classic"/>
    <n v="4.0999999999999996"/>
    <n v="21"/>
    <s v="Limited Availability"/>
    <n v="5"/>
    <s v="Limited sizes: only size US 6 available"/>
  </r>
  <r>
    <x v="16"/>
    <s v="68349745"/>
    <x v="3"/>
    <x v="0"/>
    <s v="Denim Jackets"/>
    <n v="128"/>
    <n v="128"/>
    <s v="Full Price"/>
    <n v="0"/>
    <s v="Dusted Cocoa"/>
    <x v="0"/>
    <s v="Cotton"/>
    <x v="1"/>
    <s v="Solid"/>
    <s v="Casual Basic"/>
    <n v="4.5999999999999996"/>
    <n v="340"/>
    <s v="Available"/>
    <n v="4"/>
    <s v="100% Cotton; Oversized"/>
  </r>
  <r>
    <x v="17"/>
    <s v="104773247"/>
    <x v="3"/>
    <x v="0"/>
    <s v="Barns + Utility"/>
    <n v="198"/>
    <n v="198"/>
    <s v="Full Price"/>
    <n v="0"/>
    <s v="Brown Bear"/>
    <x v="0"/>
    <s v="Cotton"/>
    <x v="1"/>
    <s v="Solid"/>
    <s v="Basic Casual"/>
    <n v="3.7"/>
    <n v="7"/>
    <s v="Available"/>
    <n v="3"/>
    <s v="100% Cotton; Oversized"/>
  </r>
  <r>
    <x v="18"/>
    <s v="63857528"/>
    <x v="3"/>
    <x v="0"/>
    <s v="Quilted Knitted Jackets"/>
    <n v="198"/>
    <n v="198"/>
    <s v="Full Price"/>
    <n v="0"/>
    <s v="Champagne Diamonds"/>
    <x v="0"/>
    <s v="Cotton, Polyester"/>
    <x v="0"/>
    <s v="Quilted Knit"/>
    <s v="Basic Casual"/>
    <n v="4.5"/>
    <n v="897"/>
    <s v="Limited Availability"/>
    <n v="5"/>
    <s v="100% Cotton, Filling: 100% Polyester; Oversized; Limited sizes: Size S unavailable"/>
  </r>
  <r>
    <x v="19"/>
    <s v="99248387"/>
    <x v="1"/>
    <x v="0"/>
    <s v="Jeans"/>
    <n v="148"/>
    <n v="148"/>
    <s v="Full Price"/>
    <n v="0"/>
    <s v="Beach Please"/>
    <x v="5"/>
    <s v="Cotton, Lyocell"/>
    <x v="0"/>
    <s v="Solid"/>
    <s v="Casual Denim"/>
    <n v="4.3"/>
    <n v="40"/>
    <s v="Available"/>
    <n v="5"/>
    <s v="61% Cotton, 39% Lyocell"/>
  </r>
  <r>
    <x v="20"/>
    <s v="94716370"/>
    <x v="1"/>
    <x v="0"/>
    <s v="Jeans"/>
    <n v="128"/>
    <n v="128"/>
    <s v="Full Price"/>
    <n v="0"/>
    <s v="Indigo Ruin"/>
    <x v="5"/>
    <s v="Cotton"/>
    <x v="1"/>
    <s v="Solid/Ripped"/>
    <s v="Casual Denim"/>
    <n v="4.2"/>
    <n v="182"/>
    <s v="Limited Availability"/>
    <n v="10"/>
    <s v="100% Cotton; Runs small; Long fit size unavailable"/>
  </r>
  <r>
    <x v="21"/>
    <s v="92819325"/>
    <x v="0"/>
    <x v="0"/>
    <s v="Thermals + Henleys"/>
    <n v="168"/>
    <n v="168"/>
    <s v="Full Price"/>
    <n v="0"/>
    <s v="Green Lily"/>
    <x v="8"/>
    <s v="Cashmere"/>
    <x v="1"/>
    <s v="Solid"/>
    <s v="Casual Basic"/>
    <n v="4.3"/>
    <n v="108"/>
    <s v="Limited Availability"/>
    <n v="16"/>
    <s v="100% Cashmere; Limited sizes: only L and XL available"/>
  </r>
  <r>
    <x v="22"/>
    <s v="96137617"/>
    <x v="2"/>
    <x v="0"/>
    <s v="Tees"/>
    <n v="38"/>
    <n v="38"/>
    <s v="Full Price"/>
    <n v="0"/>
    <s v="Lemon Narimba"/>
    <x v="6"/>
    <s v="Ecovero Viscose, Recycled Cotton, Recycled Polyester, Organic Cotton"/>
    <x v="0"/>
    <s v="Solid"/>
    <s v="Casual Basic"/>
    <n v="4.3"/>
    <n v="145"/>
    <s v="Limited Availability"/>
    <n v="15"/>
    <s v="20% Ecovero Viscose, 25% Recycled Cotton, 25% Recycled Polyester, 30% Organic Cotton; Limited sizes: XL unavailable"/>
  </r>
  <r>
    <x v="23"/>
    <s v="76194331"/>
    <x v="4"/>
    <x v="1"/>
    <s v="Bags"/>
    <n v="248"/>
    <n v="248"/>
    <s v="Full Price"/>
    <n v="0"/>
    <s v="Salt"/>
    <x v="2"/>
    <s v="Leather"/>
    <x v="1"/>
    <s v="Solid"/>
    <s v="Everyday Classic"/>
    <n v="4.0999999999999996"/>
    <n v="421"/>
    <s v="Available"/>
    <n v="11"/>
    <s v="100% Leather"/>
  </r>
  <r>
    <x v="23"/>
    <s v="76194331"/>
    <x v="4"/>
    <x v="1"/>
    <s v="Bags"/>
    <n v="248"/>
    <n v="248"/>
    <s v="Full Price"/>
    <n v="0"/>
    <s v="Bitter Bark"/>
    <x v="4"/>
    <s v="Leather"/>
    <x v="1"/>
    <s v="Solid"/>
    <s v="Everyday Classic"/>
    <n v="4.0999999999999996"/>
    <n v="421"/>
    <s v="Available"/>
    <n v="11"/>
    <s v="100% Leather"/>
  </r>
  <r>
    <x v="24"/>
    <s v="68399500"/>
    <x v="4"/>
    <x v="1"/>
    <s v="Bags"/>
    <n v="98"/>
    <n v="98"/>
    <s v="Full Price"/>
    <n v="0"/>
    <s v="Salt Water"/>
    <x v="9"/>
    <s v="Suede, Cotton"/>
    <x v="1"/>
    <s v="Solid"/>
    <s v="Everyday Classic"/>
    <n v="4.2"/>
    <n v="200"/>
    <s v="Available"/>
    <n v="9"/>
    <s v="No major notes"/>
  </r>
  <r>
    <x v="25"/>
    <s v="104264072"/>
    <x v="0"/>
    <x v="0"/>
    <s v="Cardigans"/>
    <n v="98"/>
    <n v="98"/>
    <s v="Full Price"/>
    <n v="0"/>
    <s v="Sunlight"/>
    <x v="6"/>
    <s v="Polyester, Wool, Acrylic, Elastane"/>
    <x v="0"/>
    <s v="Solid"/>
    <s v="Casual Basic"/>
    <n v="4.5999999999999996"/>
    <n v="29"/>
    <s v="Available"/>
    <n v="7"/>
    <s v="48% Polyester, 31% Wool, 17% Acrylic, 4% Elastane"/>
  </r>
  <r>
    <x v="26"/>
    <s v="100219682"/>
    <x v="1"/>
    <x v="0"/>
    <s v="Jeans"/>
    <n v="98"/>
    <n v="98"/>
    <s v="Full Price"/>
    <n v="0"/>
    <s v="Baby's Alright"/>
    <x v="5"/>
    <s v="Cotton"/>
    <x v="1"/>
    <s v="Solid"/>
    <s v="Casual Basic"/>
    <n v="4.0999999999999996"/>
    <n v="89"/>
    <s v="Limited Availability"/>
    <n v="6"/>
    <s v="100% Cotton; Limited sizes: XS and XL unavailable"/>
  </r>
  <r>
    <x v="27"/>
    <s v="101255552"/>
    <x v="4"/>
    <x v="1"/>
    <s v="Belts"/>
    <n v="48"/>
    <n v="48"/>
    <s v="Full Price"/>
    <n v="0"/>
    <s v="Banana Cream"/>
    <x v="7"/>
    <s v="Leather"/>
    <x v="1"/>
    <s v="Solid"/>
    <s v="Casual Basic"/>
    <n v="4.2"/>
    <n v="6"/>
    <s v="Limited Availability"/>
    <n v="5"/>
    <s v="Limited sizes: XS/S unavailable; Low review count"/>
  </r>
  <r>
    <x v="28"/>
    <s v="81608937"/>
    <x v="2"/>
    <x v="0"/>
    <s v="Tees"/>
    <n v="38"/>
    <n v="38"/>
    <s v="Full Price"/>
    <n v="0"/>
    <s v="Ivory"/>
    <x v="7"/>
    <s v="Elastane, Cotton"/>
    <x v="0"/>
    <s v="Solid"/>
    <s v="Casual Basic"/>
    <n v="4.5"/>
    <n v="278"/>
    <s v="Available"/>
    <n v="19"/>
    <s v="8% Elastane, 92% Cotton"/>
  </r>
  <r>
    <x v="29"/>
    <s v="95958435"/>
    <x v="6"/>
    <x v="2"/>
    <s v="Boots"/>
    <n v="498"/>
    <n v="498"/>
    <s v="Full Price"/>
    <n v="0"/>
    <s v="Bourbon"/>
    <x v="0"/>
    <s v="Leather"/>
    <x v="1"/>
    <s v="Solid"/>
    <s v="Everyday Classic"/>
    <n v="3.9"/>
    <n v="27"/>
    <s v="Available"/>
    <n v="8"/>
    <s v="100% Leather; Runs small"/>
  </r>
  <r>
    <x v="30"/>
    <s v="96774302"/>
    <x v="0"/>
    <x v="0"/>
    <s v="Pullovers"/>
    <n v="78"/>
    <n v="78"/>
    <s v="Full Price"/>
    <n v="0"/>
    <s v="Clean Ivory"/>
    <x v="7"/>
    <s v="Cotton"/>
    <x v="1"/>
    <s v="Solid"/>
    <s v="Casual Basic"/>
    <n v="4.4000000000000004"/>
    <n v="142"/>
    <s v="Available"/>
    <n v="12"/>
    <s v="100% Cotton; Oversized"/>
  </r>
  <r>
    <x v="31"/>
    <n v="58381005"/>
    <x v="2"/>
    <x v="0"/>
    <s v="Intimates"/>
    <n v="40"/>
    <n v="40"/>
    <s v="Full Price"/>
    <n v="0"/>
    <s v="Black"/>
    <x v="4"/>
    <s v="Elastane, Nylon"/>
    <x v="2"/>
    <s v="Floral"/>
    <s v="Intimates"/>
    <n v="4.4000000000000004"/>
    <n v="727"/>
    <s v="Limited Availability"/>
    <n v="13"/>
    <s v="15% Elastane, 85% Nylon; Limited sizes: M, L, and XL unavailable"/>
  </r>
  <r>
    <x v="32"/>
    <s v="100073840"/>
    <x v="4"/>
    <x v="1"/>
    <s v="Bags"/>
    <n v="148"/>
    <n v="148"/>
    <s v="Full Price"/>
    <n v="0"/>
    <s v="Saddle"/>
    <x v="0"/>
    <s v="Leather"/>
    <x v="1"/>
    <s v="Solid"/>
    <s v="Casual Basic"/>
    <n v="3.5"/>
    <n v="8"/>
    <s v="Available"/>
    <n v="1"/>
    <s v="Low review count"/>
  </r>
  <r>
    <x v="33"/>
    <n v="101374734"/>
    <x v="4"/>
    <x v="1"/>
    <s v="Scarves + Bandanas"/>
    <n v="28"/>
    <n v="28"/>
    <s v="Full Price"/>
    <n v="0"/>
    <s v="Ditsy Dots Pink"/>
    <x v="10"/>
    <s v="Silk"/>
    <x v="1"/>
    <s v="Floral"/>
    <s v="Boho"/>
    <n v="4"/>
    <n v="49"/>
    <s v="Available"/>
    <n v="11"/>
    <s v="100% Silk"/>
  </r>
  <r>
    <x v="34"/>
    <s v="94588803"/>
    <x v="1"/>
    <x v="0"/>
    <s v="Shorts"/>
    <n v="78"/>
    <n v="78"/>
    <s v="Full Price"/>
    <n v="0"/>
    <s v="Haven"/>
    <x v="5"/>
    <s v="Cotton"/>
    <x v="1"/>
    <s v="Solid"/>
    <s v="Casual Basic"/>
    <n v="4.0999999999999996"/>
    <n v="85"/>
    <s v="Limited Availability"/>
    <n v="6"/>
    <s v="100% Cotton"/>
  </r>
  <r>
    <x v="35"/>
    <s v="98060296"/>
    <x v="6"/>
    <x v="2"/>
    <s v="Mules"/>
    <n v="200"/>
    <n v="200"/>
    <s v="Full Price"/>
    <n v="0"/>
    <s v="Cognac Brown"/>
    <x v="0"/>
    <s v="Leather, Rubber"/>
    <x v="0"/>
    <s v="Solid"/>
    <s v="Casual Basic"/>
    <n v="4.9000000000000004"/>
    <n v="19"/>
    <s v="Available"/>
    <n v="5"/>
    <s v="Limited sizes: Sizes 26 and 27 unavailable"/>
  </r>
  <r>
    <x v="36"/>
    <s v="106790777"/>
    <x v="4"/>
    <x v="1"/>
    <s v="Bags"/>
    <n v="198"/>
    <n v="198"/>
    <s v="Full Price"/>
    <n v="0"/>
    <s v="Espresso"/>
    <x v="0"/>
    <s v="Leather"/>
    <x v="1"/>
    <s v="Solid"/>
    <s v="Everyday Classic"/>
    <n v="4"/>
    <n v="7"/>
    <s v="Available"/>
    <n v="3"/>
    <s v="Limited review count"/>
  </r>
  <r>
    <x v="37"/>
    <s v="87495743"/>
    <x v="3"/>
    <x v="0"/>
    <s v="Fringe Jackets"/>
    <n v="168"/>
    <n v="168"/>
    <s v="Full Price"/>
    <n v="0"/>
    <s v="Toasted Coconut"/>
    <x v="0"/>
    <s v="Polyester, Elastane"/>
    <x v="2"/>
    <s v="Fringe"/>
    <s v="Vintage"/>
    <n v="4.4000000000000004"/>
    <n v="78"/>
    <s v="Available"/>
    <n v="3"/>
    <s v="87% Polyester; 13% Elastane; Oversized"/>
  </r>
  <r>
    <x v="38"/>
    <s v="106139603"/>
    <x v="4"/>
    <x v="1"/>
    <s v="Hair Clips"/>
    <n v="18"/>
    <n v="18"/>
    <s v="Full Price"/>
    <n v="0"/>
    <s v="Sage"/>
    <x v="0"/>
    <s v="Polyester, Plastic"/>
    <x v="2"/>
    <s v="Solid"/>
    <s v="Romantic"/>
    <n v="4.4000000000000004"/>
    <n v="7"/>
    <s v="Available"/>
    <n v="5"/>
    <s v="60% Polyester, 40% Plastic; Low review count"/>
  </r>
  <r>
    <x v="39"/>
    <s v="100212216"/>
    <x v="4"/>
    <x v="1"/>
    <s v="Scarves + Bandanas"/>
    <n v="98"/>
    <n v="98"/>
    <s v="Full Price"/>
    <n v="0"/>
    <s v="Moss"/>
    <x v="0"/>
    <s v="Leather"/>
    <x v="1"/>
    <s v="Fringe"/>
    <s v="Vintage"/>
    <n v="4.5999999999999996"/>
    <n v="29"/>
    <s v="Available"/>
    <n v="5"/>
    <s v="100% Leather"/>
  </r>
  <r>
    <x v="40"/>
    <s v="104179064"/>
    <x v="1"/>
    <x v="0"/>
    <s v="Balloon Pants"/>
    <n v="98"/>
    <n v="98"/>
    <s v="Full Price"/>
    <n v="0"/>
    <s v="Sage"/>
    <x v="0"/>
    <s v="Cotton, Rayon"/>
    <x v="0"/>
    <s v="Solid"/>
    <s v="Casual Basic"/>
    <n v="4.8"/>
    <n v="53"/>
    <s v="Limited Availability"/>
    <n v="5"/>
    <s v="60% Cotton, 40% Rayon; Limited sizes: Size XL unavailable"/>
  </r>
  <r>
    <x v="41"/>
    <s v="101828606"/>
    <x v="3"/>
    <x v="0"/>
    <s v="Jacquard Jackets"/>
    <n v="198"/>
    <n v="198"/>
    <s v="Full Price"/>
    <n v="0"/>
    <s v="Rose Smoke"/>
    <x v="10"/>
    <s v="Cotton, Polyester"/>
    <x v="0"/>
    <s v="Jacquard pattern"/>
    <s v="Boho"/>
    <n v="4.5"/>
    <n v="56"/>
    <s v="Limited Availability"/>
    <n v="6"/>
    <s v="60% Cotton 40% Polyester; Limited sizes: Sizes L and XL unavailable"/>
  </r>
  <r>
    <x v="42"/>
    <s v="98917701"/>
    <x v="6"/>
    <x v="2"/>
    <s v="Sneakers"/>
    <n v="180"/>
    <n v="180"/>
    <s v="Full Price"/>
    <n v="0"/>
    <s v="Rainy Day / Paloma / Ftw Silver"/>
    <x v="1"/>
    <s v="Mesh, Textile, Rubber"/>
    <x v="0"/>
    <s v="Lace up design"/>
    <s v="Casual Basic"/>
    <n v="3.3"/>
    <n v="35"/>
    <s v="Available"/>
    <n v="7"/>
    <s v="Reviews mentioned long shipping times and wrong size or color delivered"/>
  </r>
  <r>
    <x v="43"/>
    <s v="93473114"/>
    <x v="4"/>
    <x v="1"/>
    <s v="Belts"/>
    <n v="48"/>
    <n v="48"/>
    <s v="Full Price"/>
    <n v="0"/>
    <s v="Midnight"/>
    <x v="4"/>
    <s v="Leather"/>
    <x v="1"/>
    <s v="Solid/Studded"/>
    <s v="Everyday Classic"/>
    <n v="4.2"/>
    <n v="38"/>
    <s v="Limited Availability"/>
    <n v="11"/>
    <s v="100% Leather; Limited sizes: only size L/XL available"/>
  </r>
  <r>
    <x v="44"/>
    <s v="97310320"/>
    <x v="1"/>
    <x v="0"/>
    <s v="Cargos"/>
    <n v="128"/>
    <n v="128"/>
    <s v="Full Price"/>
    <n v="0"/>
    <s v="Azure"/>
    <x v="9"/>
    <s v="Cotton"/>
    <x v="1"/>
    <s v="Solid"/>
    <s v="Casual Basic"/>
    <n v="4.5999999999999996"/>
    <n v="54"/>
    <s v="Limited Availability"/>
    <n v="4"/>
    <s v="100% Cotton; Limited sizes: Size XL unavailable"/>
  </r>
  <r>
    <x v="45"/>
    <s v="96633029"/>
    <x v="2"/>
    <x v="0"/>
    <s v="Tees"/>
    <n v="38"/>
    <n v="38"/>
    <s v="Full Price"/>
    <n v="0"/>
    <s v="White"/>
    <x v="2"/>
    <s v="Cotton"/>
    <x v="1"/>
    <s v="Solid"/>
    <s v="Casual Basic"/>
    <n v="4.4000000000000004"/>
    <n v="193"/>
    <s v="Available"/>
    <n v="13"/>
    <s v="100% Cotton"/>
  </r>
  <r>
    <x v="46"/>
    <s v="62250774"/>
    <x v="0"/>
    <x v="0"/>
    <s v="Pullovers"/>
    <n v="78"/>
    <n v="78"/>
    <s v="Full Price"/>
    <n v="0"/>
    <s v="Chocolate Love"/>
    <x v="0"/>
    <s v="Cotton, Polyester"/>
    <x v="0"/>
    <s v="Solid"/>
    <s v="Casual Basic"/>
    <n v="4.3"/>
    <n v="1317"/>
    <s v="Available"/>
    <n v="16"/>
    <s v="48% Cotton, 52% Polyester"/>
  </r>
  <r>
    <x v="47"/>
    <s v="99387854"/>
    <x v="1"/>
    <x v="0"/>
    <s v="Cargos"/>
    <n v="168"/>
    <n v="168"/>
    <s v="Full Price"/>
    <n v="0"/>
    <s v="Mineral Bath"/>
    <x v="1"/>
    <s v="Cotton"/>
    <x v="1"/>
    <s v="Solid"/>
    <s v="Casual Basic"/>
    <n v="3.6"/>
    <n v="32"/>
    <s v="Limited Availability"/>
    <n v="7"/>
    <s v="100% Cotton; Limited sizes: only sizes: US 10, 12, and 14 available"/>
  </r>
  <r>
    <x v="48"/>
    <s v="82122839"/>
    <x v="6"/>
    <x v="2"/>
    <s v="Sneakers"/>
    <n v="160"/>
    <n v="160"/>
    <s v="Full Price"/>
    <n v="0"/>
    <s v="Pink"/>
    <x v="10"/>
    <s v="Mesh, Suede, Rubber"/>
    <x v="0"/>
    <s v="Solid"/>
    <s v="Casual Basic"/>
    <n v="4"/>
    <n v="83"/>
    <s v="Available"/>
    <n v="9"/>
    <s v="No major notes"/>
  </r>
  <r>
    <x v="49"/>
    <s v="80799299"/>
    <x v="1"/>
    <x v="0"/>
    <s v="Jeans"/>
    <n v="128"/>
    <n v="128"/>
    <s v="Full Price"/>
    <n v="0"/>
    <s v="Amalfi"/>
    <x v="5"/>
    <s v="Recycled Cotton, Cotton, Lyocell"/>
    <x v="0"/>
    <s v="Distressed"/>
    <s v="Casual Basic"/>
    <n v="4.3"/>
    <n v="1595"/>
    <s v="Available"/>
    <n v="18"/>
    <s v="40% Recycled Cotton, 17% Cotton, 43% Lyocell"/>
  </r>
  <r>
    <x v="50"/>
    <s v="104798756"/>
    <x v="1"/>
    <x v="0"/>
    <s v="Jeans"/>
    <n v="148"/>
    <n v="148"/>
    <s v="Full Price"/>
    <n v="0"/>
    <s v="Mood Indigo"/>
    <x v="5"/>
    <s v="Cotton"/>
    <x v="1"/>
    <s v="Solid"/>
    <s v="Casual Basic"/>
    <n v="4.7"/>
    <n v="61"/>
    <s v="Available"/>
    <n v="4"/>
    <s v="100% Cotton"/>
  </r>
  <r>
    <x v="51"/>
    <s v="97984066"/>
    <x v="7"/>
    <x v="0"/>
    <s v="Denim Jumpsuits"/>
    <n v="98"/>
    <n v="98"/>
    <s v="Full Price"/>
    <n v="0"/>
    <s v="Echo"/>
    <x v="5"/>
    <s v="Cotton"/>
    <x v="1"/>
    <s v="Solid"/>
    <s v="Casual Basic"/>
    <n v="4.5"/>
    <n v="97"/>
    <s v="Available"/>
    <n v="8"/>
    <s v="100% Cotton"/>
  </r>
  <r>
    <x v="52"/>
    <s v="106997661"/>
    <x v="1"/>
    <x v="0"/>
    <s v="Linen Pants"/>
    <n v="78"/>
    <n v="78"/>
    <s v="Full Price"/>
    <n v="0"/>
    <s v="Double Espresso"/>
    <x v="4"/>
    <s v="Linen, Cotton"/>
    <x v="1"/>
    <s v="Solid"/>
    <s v="Casual Basic"/>
    <n v="4.5999999999999996"/>
    <n v="68"/>
    <s v="Available"/>
    <n v="9"/>
    <s v="52% Linen, 48% Cotton; Loose fit"/>
  </r>
  <r>
    <x v="53"/>
    <s v="101500890"/>
    <x v="1"/>
    <x v="0"/>
    <s v="Barrel Pants"/>
    <n v="98"/>
    <n v="98"/>
    <s v="Full Price"/>
    <n v="0"/>
    <s v="Kelly Green Combo"/>
    <x v="8"/>
    <s v="Cotton"/>
    <x v="1"/>
    <s v="Stripes"/>
    <s v="Casual Basic"/>
    <n v="4.3"/>
    <n v="98"/>
    <s v="Limited Availability"/>
    <n v="4"/>
    <s v="100% Cotton; limited sizes: only size XL available"/>
  </r>
  <r>
    <x v="54"/>
    <s v="99359598"/>
    <x v="1"/>
    <x v="0"/>
    <s v="Cargos"/>
    <n v="148"/>
    <n v="148"/>
    <s v="Full Price"/>
    <n v="0"/>
    <s v="Paper Lantern"/>
    <x v="10"/>
    <s v="Cotton"/>
    <x v="1"/>
    <s v="Solid"/>
    <s v="Casual Basic"/>
    <n v="4.5999999999999996"/>
    <n v="183"/>
    <s v="Limited Availability"/>
    <n v="9"/>
    <s v="100% Cotton; Limited sizes: only size L available"/>
  </r>
  <r>
    <x v="55"/>
    <s v="60921657"/>
    <x v="1"/>
    <x v="0"/>
    <s v="Jeans"/>
    <n v="128"/>
    <n v="128"/>
    <s v="Full Price"/>
    <n v="0"/>
    <s v="Peachy Keen"/>
    <x v="10"/>
    <s v="Cotton"/>
    <x v="1"/>
    <s v="Solid"/>
    <s v="Casual Basic"/>
    <n v="4.4000000000000004"/>
    <n v="308"/>
    <s v="Available"/>
    <n v="10"/>
    <s v="100% Cotton"/>
  </r>
  <r>
    <x v="56"/>
    <s v="106610611"/>
    <x v="1"/>
    <x v="0"/>
    <s v="Jeans"/>
    <n v="128"/>
    <n v="128"/>
    <s v="Full Price"/>
    <n v="0"/>
    <s v="Art School"/>
    <x v="5"/>
    <s v="Cotton"/>
    <x v="1"/>
    <s v="Paint splatters"/>
    <s v="Casual Basic"/>
    <n v="4.3"/>
    <n v="46"/>
    <s v="Available"/>
    <n v="4"/>
    <s v="100% Cotton"/>
  </r>
  <r>
    <x v="57"/>
    <s v="87382560"/>
    <x v="1"/>
    <x v="0"/>
    <s v="Jeans"/>
    <n v="78"/>
    <n v="78"/>
    <s v="Full Price"/>
    <n v="0"/>
    <s v="Dusk"/>
    <x v="5"/>
    <s v="Cotton"/>
    <x v="1"/>
    <s v="Solid"/>
    <s v="Casual Basic"/>
    <n v="3.9"/>
    <n v="487"/>
    <s v="Available"/>
    <n v="9"/>
    <s v="100% Cotton; may run long on petites"/>
  </r>
  <r>
    <x v="58"/>
    <s v="96061528"/>
    <x v="1"/>
    <x v="0"/>
    <s v="Chino Trousers"/>
    <n v="98"/>
    <n v="98"/>
    <s v="Full Price"/>
    <n v="0"/>
    <s v="Brownie"/>
    <x v="0"/>
    <s v="Cotton"/>
    <x v="1"/>
    <s v="Solid"/>
    <s v="Casual Basic"/>
    <n v="3.6"/>
    <n v="78"/>
    <s v="Available"/>
    <n v="9"/>
    <s v="100% Cotton; Reviews mention inconsistent sizing"/>
  </r>
  <r>
    <x v="59"/>
    <s v="99965683"/>
    <x v="5"/>
    <x v="0"/>
    <s v="Jean Shortalls"/>
    <n v="88"/>
    <n v="88"/>
    <s v="Full Price"/>
    <n v="0"/>
    <s v="Light Indigo"/>
    <x v="5"/>
    <s v="Cotton"/>
    <x v="1"/>
    <s v="Solid"/>
    <s v="Casual Basic"/>
    <n v="4.0999999999999996"/>
    <n v="37"/>
    <s v="Available"/>
    <n v="9"/>
    <s v="100% Cotton"/>
  </r>
  <r>
    <x v="60"/>
    <s v="85308708"/>
    <x v="8"/>
    <x v="0"/>
    <s v="Maxi Dresses"/>
    <n v="118"/>
    <n v="118"/>
    <s v="Full Price"/>
    <n v="0"/>
    <s v="Fig"/>
    <x v="11"/>
    <s v="Viscose, Cotton"/>
    <x v="0"/>
    <s v="Solid"/>
    <s v="Romantic"/>
    <n v="4.4000000000000004"/>
    <n v="219"/>
    <s v="Limited Availability"/>
    <n v="11"/>
    <s v="100% Viscose, Lining: 100% Cotton; Limited sizes: L and XL unavailable"/>
  </r>
  <r>
    <x v="61"/>
    <s v="104831144"/>
    <x v="9"/>
    <x v="0"/>
    <s v="Sweater Sets"/>
    <n v="128"/>
    <n v="128"/>
    <s v="Full Price"/>
    <n v="0"/>
    <s v="Rainbow Combo"/>
    <x v="12"/>
    <s v="Cotton, Acrylic, Polyamide"/>
    <x v="0"/>
    <s v="Stripes"/>
    <s v="Casual Basic"/>
    <n v="4.5"/>
    <n v="22"/>
    <s v="Limited Availability"/>
    <n v="5"/>
    <s v="40% Cotton, 39% Acrylic, 21% Polyamide; Limited sizes: XL unavailable"/>
  </r>
  <r>
    <x v="62"/>
    <s v="93598514"/>
    <x v="2"/>
    <x v="0"/>
    <s v="Thermals + Henleys"/>
    <n v="58"/>
    <n v="58"/>
    <s v="Full Price"/>
    <n v="0"/>
    <s v="Quiet Grey"/>
    <x v="3"/>
    <s v="Cotton, Elastane"/>
    <x v="0"/>
    <s v="Solid"/>
    <s v="Casual Basic"/>
    <n v="4.2"/>
    <n v="232"/>
    <s v="Available"/>
    <n v="17"/>
    <s v="95% Cotton, 5% Elastane"/>
  </r>
  <r>
    <x v="63"/>
    <s v="65647802"/>
    <x v="1"/>
    <x v="0"/>
    <s v="Shorts"/>
    <n v="88"/>
    <n v="88"/>
    <s v="Full Price"/>
    <n v="0"/>
    <s v="Cameo Green"/>
    <x v="8"/>
    <s v="Cotton"/>
    <x v="1"/>
    <s v="Solid"/>
    <s v="Casual Basic"/>
    <n v="4.7"/>
    <n v="151"/>
    <s v="Available"/>
    <n v="9"/>
    <s v="100% Cotton"/>
  </r>
  <r>
    <x v="64"/>
    <s v="88830864"/>
    <x v="2"/>
    <x v="0"/>
    <s v="Tanks"/>
    <n v="38"/>
    <n v="38"/>
    <s v="Full Price"/>
    <n v="0"/>
    <s v="Paradise Green"/>
    <x v="8"/>
    <s v="Cotton, Elastane"/>
    <x v="0"/>
    <s v="Solid"/>
    <s v="Casual Basic"/>
    <n v="4.3"/>
    <n v="173"/>
    <s v="Available"/>
    <n v="19"/>
    <s v="96% Cotton, 4% Elastane"/>
  </r>
  <r>
    <x v="65"/>
    <s v="68503010"/>
    <x v="1"/>
    <x v="0"/>
    <s v="Cargos"/>
    <n v="138"/>
    <n v="138"/>
    <s v="Full Price"/>
    <n v="0"/>
    <s v="Pink Salt"/>
    <x v="10"/>
    <s v="Cotton"/>
    <x v="1"/>
    <s v="Solid"/>
    <s v="Casual Basic"/>
    <n v="4.5"/>
    <n v="501"/>
    <s v="Available"/>
    <n v="9"/>
    <s v="100% Cotton"/>
  </r>
  <r>
    <x v="66"/>
    <s v="92255322"/>
    <x v="1"/>
    <x v="0"/>
    <s v="Shorts"/>
    <n v="128"/>
    <n v="128"/>
    <s v="Full Price"/>
    <n v="0"/>
    <s v="Sunset"/>
    <x v="10"/>
    <s v="Cotton"/>
    <x v="1"/>
    <s v="Solid"/>
    <s v="Casual Basic"/>
    <n v="4.4000000000000004"/>
    <n v="110"/>
    <s v="Available"/>
    <n v="9"/>
    <s v="100% Cotton"/>
  </r>
  <r>
    <x v="67"/>
    <s v="81931875"/>
    <x v="3"/>
    <x v="0"/>
    <s v="Denim Jackets"/>
    <n v="128"/>
    <n v="128"/>
    <s v="Full Price"/>
    <n v="0"/>
    <s v="Lychee Blush"/>
    <x v="10"/>
    <s v="Cotton"/>
    <x v="1"/>
    <s v="Solid"/>
    <s v="Casual Basic"/>
    <n v="4.4000000000000004"/>
    <n v="131"/>
    <s v="Available"/>
    <n v="6"/>
    <s v="100% Cotton"/>
  </r>
  <r>
    <x v="68"/>
    <s v="104856471"/>
    <x v="10"/>
    <x v="0"/>
    <s v="Bralettes"/>
    <n v="38"/>
    <n v="38"/>
    <s v="Full Price"/>
    <n v="0"/>
    <s v="Vanilla Custard"/>
    <x v="7"/>
    <s v="Nylon, Elastane, Nylon, Elastane"/>
    <x v="2"/>
    <s v="Lace"/>
    <s v="Intimates"/>
    <n v="4.0999999999999996"/>
    <n v="30"/>
    <s v="Limited Availability"/>
    <n v="7"/>
    <s v="93% Nylon, 7% Elastane; Lining: 84% Nylon, 16% Elastane; Limited sizes: XS and XL unavailable"/>
  </r>
  <r>
    <x v="69"/>
    <s v="69328516"/>
    <x v="1"/>
    <x v="0"/>
    <s v="Jeans"/>
    <n v="148"/>
    <n v="148"/>
    <s v="Full Price"/>
    <n v="0"/>
    <s v="Timeless Blue"/>
    <x v="5"/>
    <s v="Cotton"/>
    <x v="1"/>
    <s v="Paint splatters"/>
    <s v="Casual Basic"/>
    <n v="4.4000000000000004"/>
    <n v="778"/>
    <s v="Limited Availability"/>
    <n v="13"/>
    <s v="100% Cotton; Long fit size unavailable; Limited sizes: 24, 25, and 33 unavailable"/>
  </r>
  <r>
    <x v="70"/>
    <s v="82908096"/>
    <x v="6"/>
    <x v="2"/>
    <s v="Sneakers"/>
    <n v="120"/>
    <n v="120"/>
    <s v="Full Price"/>
    <n v="0"/>
    <s v="Coral/White"/>
    <x v="12"/>
    <s v="Suede, Leather, Textile, Rubber"/>
    <x v="0"/>
    <s v="Solid"/>
    <s v="Casual Basic"/>
    <n v="4.3"/>
    <n v="114"/>
    <s v="Limited Availability"/>
    <n v="19"/>
    <s v="Limited sizes: US 7.5, US 8.5, US 9, US 9.5, US 11 unavailable"/>
  </r>
  <r>
    <x v="71"/>
    <s v="90455114"/>
    <x v="1"/>
    <x v="0"/>
    <s v="Jeans"/>
    <n v="98"/>
    <n v="98"/>
    <s v="Full Price"/>
    <n v="0"/>
    <s v="Café Noir"/>
    <x v="4"/>
    <s v="Polyester, Elastane, Cotton"/>
    <x v="0"/>
    <s v="Solid"/>
    <s v="Casual Basic"/>
    <n v="4.3"/>
    <n v="233"/>
    <s v="Limited Availability"/>
    <n v="9"/>
    <s v="16% Polyester, 2% Elastane, 82% Cotton; Short fit size unavailable; Limited sizes: 27 and 28 unavailable"/>
  </r>
  <r>
    <x v="72"/>
    <s v="102191582"/>
    <x v="1"/>
    <x v="0"/>
    <s v="Cargos"/>
    <n v="168"/>
    <n v="168"/>
    <s v="Full Price"/>
    <n v="0"/>
    <s v="Paprika"/>
    <x v="11"/>
    <s v="Rayon, Nylon"/>
    <x v="2"/>
    <s v="Solid"/>
    <s v="Casual Basic"/>
    <n v="4.3"/>
    <n v="47"/>
    <s v="Limited Availability"/>
    <n v="5"/>
    <s v="82% Rayon, 18% Nylon; Limited sizes: XL unavailabl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F8324D-C997-46CF-8F49-6E479D353CB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Category Group ">
  <location ref="A113:B117" firstHeaderRow="1" firstDataRow="1" firstDataCol="1"/>
  <pivotFields count="20">
    <pivotField dataField="1" showAll="0">
      <items count="74">
        <item x="38"/>
        <item x="2"/>
        <item x="3"/>
        <item x="52"/>
        <item x="60"/>
        <item x="18"/>
        <item x="64"/>
        <item x="29"/>
        <item x="70"/>
        <item x="17"/>
        <item x="31"/>
        <item x="41"/>
        <item x="4"/>
        <item x="8"/>
        <item x="15"/>
        <item x="40"/>
        <item x="48"/>
        <item x="14"/>
        <item x="0"/>
        <item x="61"/>
        <item x="68"/>
        <item x="21"/>
        <item x="27"/>
        <item x="43"/>
        <item x="24"/>
        <item x="32"/>
        <item x="10"/>
        <item x="42"/>
        <item x="25"/>
        <item x="12"/>
        <item x="11"/>
        <item x="9"/>
        <item x="53"/>
        <item x="1"/>
        <item x="33"/>
        <item x="39"/>
        <item x="5"/>
        <item x="35"/>
        <item x="44"/>
        <item x="36"/>
        <item x="7"/>
        <item x="57"/>
        <item x="47"/>
        <item x="46"/>
        <item x="23"/>
        <item x="56"/>
        <item x="51"/>
        <item x="37"/>
        <item x="6"/>
        <item x="49"/>
        <item x="50"/>
        <item x="62"/>
        <item x="59"/>
        <item x="58"/>
        <item x="71"/>
        <item x="55"/>
        <item x="26"/>
        <item x="67"/>
        <item x="34"/>
        <item x="66"/>
        <item x="69"/>
        <item x="22"/>
        <item x="54"/>
        <item x="16"/>
        <item x="30"/>
        <item x="13"/>
        <item x="45"/>
        <item x="28"/>
        <item x="72"/>
        <item x="65"/>
        <item x="20"/>
        <item x="19"/>
        <item x="63"/>
        <item t="default"/>
      </items>
    </pivotField>
    <pivotField showAll="0"/>
    <pivotField showAll="0"/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44" showAll="0"/>
    <pivotField numFmtId="44" showAll="0"/>
    <pivotField showAll="0"/>
    <pivotField numFmtId="9" showAll="0"/>
    <pivotField showAll="0"/>
    <pivotField showAll="0"/>
    <pivotField showAll="0"/>
    <pivotField showAll="0"/>
    <pivotField showAll="0"/>
    <pivotField showAll="0"/>
    <pivotField numFmtId="164" showAll="0"/>
    <pivotField numFmtId="1" showAll="0"/>
    <pivotField showAll="0"/>
    <pivotField showAll="0"/>
    <pivotField showAll="0"/>
  </pivotFields>
  <rowFields count="1">
    <field x="3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Product Count" fld="0" subtotal="count" baseField="3" baseItem="0"/>
  </dataFields>
  <formats count="17">
    <format dxfId="16">
      <pivotArea collapsedLevelsAreSubtotals="1" fieldPosition="0">
        <references count="1">
          <reference field="3" count="0"/>
        </references>
      </pivotArea>
    </format>
    <format dxfId="15">
      <pivotArea field="3" type="button" dataOnly="0" labelOnly="1" outline="0" axis="axisRow" fieldPosition="0"/>
    </format>
    <format dxfId="14">
      <pivotArea dataOnly="0" labelOnly="1" outline="0" axis="axisValues" fieldPosition="0"/>
    </format>
    <format dxfId="13">
      <pivotArea collapsedLevelsAreSubtotals="1" fieldPosition="0">
        <references count="1">
          <reference field="3" count="0"/>
        </references>
      </pivotArea>
    </format>
    <format dxfId="12">
      <pivotArea field="3" type="button" dataOnly="0" labelOnly="1" outline="0" axis="axisRow" fieldPosition="0"/>
    </format>
    <format dxfId="11">
      <pivotArea dataOnly="0" labelOnly="1" fieldPosition="0">
        <references count="1">
          <reference field="3" count="0"/>
        </references>
      </pivotArea>
    </format>
    <format dxfId="10">
      <pivotArea dataOnly="0" labelOnly="1" outline="0" axis="axisValues" fieldPosition="0"/>
    </format>
    <format dxfId="9">
      <pivotArea field="3" type="button" dataOnly="0" labelOnly="1" outline="0" axis="axisRow" fieldPosition="0"/>
    </format>
    <format dxfId="8">
      <pivotArea dataOnly="0" labelOnly="1" outline="0" axis="axisValues" fieldPosition="0"/>
    </format>
    <format dxfId="7">
      <pivotArea grandRow="1" outline="0" collapsedLevelsAreSubtotals="1" fieldPosition="0"/>
    </format>
    <format dxfId="6">
      <pivotArea dataOnly="0" labelOnly="1" grandRow="1" outline="0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3" type="button" dataOnly="0" labelOnly="1" outline="0" axis="axisRow" fieldPosition="0"/>
    </format>
    <format dxfId="2">
      <pivotArea dataOnly="0" labelOnly="1" fieldPosition="0">
        <references count="1">
          <reference field="3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E54F32-6DAC-47F5-B0B8-C4DD7D3D3C6B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Product Category">
  <location ref="A57:B69" firstHeaderRow="1" firstDataRow="1" firstDataCol="1"/>
  <pivotFields count="20">
    <pivotField showAll="0"/>
    <pivotField showAll="0"/>
    <pivotField axis="axisRow" showAll="0" sortType="descending">
      <items count="13">
        <item x="4"/>
        <item m="1" x="11"/>
        <item x="8"/>
        <item x="10"/>
        <item x="3"/>
        <item x="5"/>
        <item x="7"/>
        <item x="1"/>
        <item x="9"/>
        <item x="6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numFmtId="44" showAll="0"/>
    <pivotField numFmtId="44" showAll="0"/>
    <pivotField showAll="0"/>
    <pivotField numFmtId="9" showAll="0"/>
    <pivotField showAll="0"/>
    <pivotField showAll="0"/>
    <pivotField showAll="0"/>
    <pivotField showAll="0"/>
    <pivotField showAll="0"/>
    <pivotField showAll="0"/>
    <pivotField numFmtId="164" showAll="0"/>
    <pivotField numFmtId="1" showAll="0"/>
    <pivotField showAll="0"/>
    <pivotField showAll="0"/>
    <pivotField showAll="0"/>
  </pivotFields>
  <rowFields count="1">
    <field x="2"/>
  </rowFields>
  <rowItems count="12">
    <i>
      <x v="9"/>
    </i>
    <i>
      <x v="4"/>
    </i>
    <i>
      <x v="8"/>
    </i>
    <i>
      <x v="7"/>
    </i>
    <i>
      <x v="2"/>
    </i>
    <i>
      <x v="5"/>
    </i>
    <i>
      <x v="10"/>
    </i>
    <i>
      <x/>
    </i>
    <i>
      <x v="6"/>
    </i>
    <i>
      <x v="11"/>
    </i>
    <i>
      <x v="3"/>
    </i>
    <i t="grand">
      <x/>
    </i>
  </rowItems>
  <colItems count="1">
    <i/>
  </colItems>
  <dataFields count="1">
    <dataField name="Average Price" fld="5" subtotal="average" baseField="2" baseItem="9" numFmtId="165"/>
  </dataFields>
  <formats count="17">
    <format dxfId="33">
      <pivotArea dataOnly="0" labelOnly="1" outline="0" axis="axisValues" fieldPosition="0"/>
    </format>
    <format dxfId="32">
      <pivotArea field="2" type="button" dataOnly="0" labelOnly="1" outline="0" axis="axisRow" fieldPosition="0"/>
    </format>
    <format dxfId="31">
      <pivotArea dataOnly="0" labelOnly="1" grandRow="1" outline="0" fieldPosition="0"/>
    </format>
    <format dxfId="30">
      <pivotArea grandRow="1" outline="0" collapsedLevelsAreSubtotals="1" fieldPosition="0"/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2" type="button" dataOnly="0" labelOnly="1" outline="0" axis="axisRow" fieldPosition="0"/>
    </format>
    <format dxfId="26">
      <pivotArea dataOnly="0" labelOnly="1" fieldPosition="0">
        <references count="1">
          <reference field="2" count="0"/>
        </references>
      </pivotArea>
    </format>
    <format dxfId="25">
      <pivotArea dataOnly="0" labelOnly="1" grandRow="1" outline="0" fieldPosition="0"/>
    </format>
    <format dxfId="24">
      <pivotArea dataOnly="0" labelOnly="1" outline="0" axis="axisValues" fieldPosition="0"/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2" type="button" dataOnly="0" labelOnly="1" outline="0" axis="axisRow" fieldPosition="0"/>
    </format>
    <format dxfId="20">
      <pivotArea dataOnly="0" labelOnly="1" fieldPosition="0">
        <references count="1">
          <reference field="2" count="0"/>
        </references>
      </pivotArea>
    </format>
    <format dxfId="19">
      <pivotArea dataOnly="0" labelOnly="1" grandRow="1" outline="0" fieldPosition="0"/>
    </format>
    <format dxfId="18">
      <pivotArea dataOnly="0" labelOnly="1" outline="0" axis="axisValues" fieldPosition="0"/>
    </format>
    <format dxfId="17">
      <pivotArea outline="0" collapsedLevelsAreSubtotals="1" fieldPosition="0"/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E089E9-FB41-4B35-9373-CA653B9DBC96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Product Category">
  <location ref="A95:B107" firstHeaderRow="1" firstDataRow="1" firstDataCol="1"/>
  <pivotFields count="20">
    <pivotField showAll="0"/>
    <pivotField showAll="0"/>
    <pivotField axis="axisRow" showAll="0" sortType="descending">
      <items count="13">
        <item x="4"/>
        <item m="1" x="11"/>
        <item x="8"/>
        <item x="10"/>
        <item x="3"/>
        <item x="5"/>
        <item x="7"/>
        <item x="1"/>
        <item x="9"/>
        <item x="6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44" showAll="0"/>
    <pivotField numFmtId="44" showAll="0"/>
    <pivotField showAll="0"/>
    <pivotField numFmtId="9" showAll="0"/>
    <pivotField showAll="0"/>
    <pivotField showAll="0"/>
    <pivotField showAll="0"/>
    <pivotField showAll="0"/>
    <pivotField showAll="0"/>
    <pivotField showAll="0"/>
    <pivotField numFmtId="164" showAll="0"/>
    <pivotField dataField="1" numFmtId="1" showAll="0"/>
    <pivotField showAll="0"/>
    <pivotField showAll="0"/>
    <pivotField showAll="0"/>
  </pivotFields>
  <rowFields count="1">
    <field x="2"/>
  </rowFields>
  <rowItems count="12">
    <i>
      <x v="10"/>
    </i>
    <i>
      <x v="5"/>
    </i>
    <i>
      <x v="7"/>
    </i>
    <i>
      <x v="2"/>
    </i>
    <i>
      <x v="4"/>
    </i>
    <i>
      <x v="11"/>
    </i>
    <i>
      <x/>
    </i>
    <i>
      <x v="6"/>
    </i>
    <i>
      <x v="9"/>
    </i>
    <i>
      <x v="3"/>
    </i>
    <i>
      <x v="8"/>
    </i>
    <i t="grand">
      <x/>
    </i>
  </rowItems>
  <colItems count="1">
    <i/>
  </colItems>
  <dataFields count="1">
    <dataField name="Average Review Count" fld="16" subtotal="average" baseField="2" baseItem="0" numFmtId="1"/>
  </dataFields>
  <formats count="14">
    <format dxfId="47">
      <pivotArea field="2" type="button" dataOnly="0" labelOnly="1" outline="0" axis="axisRow" fieldPosition="0"/>
    </format>
    <format dxfId="46">
      <pivotArea dataOnly="0" labelOnly="1" outline="0" axis="axisValues" fieldPosition="0"/>
    </format>
    <format dxfId="45">
      <pivotArea grandRow="1" outline="0" collapsedLevelsAreSubtotals="1" fieldPosition="0"/>
    </format>
    <format dxfId="44">
      <pivotArea dataOnly="0" labelOnly="1" grandRow="1" outline="0" fieldPosition="0"/>
    </format>
    <format dxfId="43">
      <pivotArea dataOnly="0" labelOnly="1" outline="0" axis="axisValues" fieldPosition="0"/>
    </format>
    <format dxfId="42">
      <pivotArea dataOnly="0" labelOnly="1" outline="0" axis="axisValues" fieldPosition="0"/>
    </format>
    <format dxfId="41">
      <pivotArea field="2" type="button" dataOnly="0" labelOnly="1" outline="0" axis="axisRow" fieldPosition="0"/>
    </format>
    <format dxfId="40">
      <pivotArea field="2" type="button" dataOnly="0" labelOnly="1" outline="0" axis="axisRow" fieldPosition="0"/>
    </format>
    <format dxfId="39">
      <pivotArea outline="0" collapsedLevelsAreSubtotals="1" fieldPosition="0"/>
    </format>
    <format dxfId="38">
      <pivotArea dataOnly="0" labelOnly="1" fieldPosition="0">
        <references count="1">
          <reference field="2" count="0"/>
        </references>
      </pivotArea>
    </format>
    <format dxfId="37">
      <pivotArea dataOnly="0" labelOnly="1" grandRow="1" outline="0" fieldPosition="0"/>
    </format>
    <format dxfId="36">
      <pivotArea outline="0" collapsedLevelsAreSubtotals="1" fieldPosition="0"/>
    </format>
    <format dxfId="35">
      <pivotArea dataOnly="0" labelOnly="1" fieldPosition="0">
        <references count="1">
          <reference field="2" count="0"/>
        </references>
      </pivotArea>
    </format>
    <format dxfId="34">
      <pivotArea dataOnly="0" labelOnly="1" grandRow="1" outline="0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5BFDAA-20AB-43B3-AE07-675234C75B0B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 rowHeaderCaption="Color Family">
  <location ref="A22:B36" firstHeaderRow="1" firstDataRow="1" firstDataCol="1"/>
  <pivotFields count="20">
    <pivotField dataField="1" showAll="0"/>
    <pivotField showAll="0"/>
    <pivotField showAll="0"/>
    <pivotField showAll="0"/>
    <pivotField showAll="0"/>
    <pivotField numFmtId="44" showAll="0"/>
    <pivotField numFmtId="44" showAll="0"/>
    <pivotField showAll="0"/>
    <pivotField numFmtId="9" showAll="0"/>
    <pivotField showAll="0"/>
    <pivotField axis="axisRow" showAll="0" sortType="descending">
      <items count="15">
        <item x="9"/>
        <item x="5"/>
        <item x="4"/>
        <item x="0"/>
        <item x="8"/>
        <item x="3"/>
        <item x="12"/>
        <item m="1" x="13"/>
        <item x="1"/>
        <item x="7"/>
        <item x="10"/>
        <item x="11"/>
        <item x="2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64" showAll="0"/>
    <pivotField numFmtId="1" showAll="0"/>
    <pivotField showAll="0"/>
    <pivotField showAll="0"/>
    <pivotField showAll="0"/>
  </pivotFields>
  <rowFields count="1">
    <field x="10"/>
  </rowFields>
  <rowItems count="14">
    <i>
      <x v="3"/>
    </i>
    <i>
      <x v="1"/>
    </i>
    <i>
      <x v="2"/>
    </i>
    <i>
      <x v="10"/>
    </i>
    <i>
      <x v="9"/>
    </i>
    <i>
      <x v="12"/>
    </i>
    <i>
      <x v="8"/>
    </i>
    <i>
      <x v="4"/>
    </i>
    <i>
      <x v="13"/>
    </i>
    <i>
      <x v="11"/>
    </i>
    <i>
      <x/>
    </i>
    <i>
      <x v="5"/>
    </i>
    <i>
      <x v="6"/>
    </i>
    <i t="grand">
      <x/>
    </i>
  </rowItems>
  <colItems count="1">
    <i/>
  </colItems>
  <dataFields count="1">
    <dataField name="Product Count" fld="0" subtotal="count" baseField="9" baseItem="0"/>
  </dataFields>
  <formats count="19">
    <format dxfId="66">
      <pivotArea field="10" type="button" dataOnly="0" labelOnly="1" outline="0" axis="axisRow" fieldPosition="0"/>
    </format>
    <format dxfId="65">
      <pivotArea dataOnly="0" labelOnly="1" outline="0" axis="axisValues" fieldPosition="0"/>
    </format>
    <format dxfId="64">
      <pivotArea outline="0" collapsedLevelsAreSubtotals="1" fieldPosition="0"/>
    </format>
    <format dxfId="63">
      <pivotArea dataOnly="0" labelOnly="1" fieldPosition="0">
        <references count="1">
          <reference field="10" count="0"/>
        </references>
      </pivotArea>
    </format>
    <format dxfId="62">
      <pivotArea dataOnly="0" labelOnly="1" grandRow="1" outline="0" fieldPosition="0"/>
    </format>
    <format dxfId="61">
      <pivotArea type="all" dataOnly="0" outline="0" fieldPosition="0"/>
    </format>
    <format dxfId="60">
      <pivotArea field="10" type="button" dataOnly="0" labelOnly="1" outline="0" axis="axisRow" fieldPosition="0"/>
    </format>
    <format dxfId="59">
      <pivotArea dataOnly="0" labelOnly="1" grandRow="1" outline="0" fieldPosition="0"/>
    </format>
    <format dxfId="58">
      <pivotArea dataOnly="0" labelOnly="1" outline="0" axis="axisValues" fieldPosition="0"/>
    </format>
    <format dxfId="57">
      <pivotArea field="10" type="button" dataOnly="0" labelOnly="1" outline="0" axis="axisRow" fieldPosition="0"/>
    </format>
    <format dxfId="56">
      <pivotArea dataOnly="0" labelOnly="1" outline="0" axis="axisValues" fieldPosition="0"/>
    </format>
    <format dxfId="55">
      <pivotArea grandRow="1" outline="0" collapsedLevelsAreSubtotals="1" fieldPosition="0"/>
    </format>
    <format dxfId="54">
      <pivotArea dataOnly="0" labelOnly="1" grandRow="1" outline="0" fieldPosition="0"/>
    </format>
    <format dxfId="53">
      <pivotArea type="all" dataOnly="0" outline="0" fieldPosition="0"/>
    </format>
    <format dxfId="52">
      <pivotArea outline="0" collapsedLevelsAreSubtotals="1" fieldPosition="0"/>
    </format>
    <format dxfId="51">
      <pivotArea field="10" type="button" dataOnly="0" labelOnly="1" outline="0" axis="axisRow" fieldPosition="0"/>
    </format>
    <format dxfId="50">
      <pivotArea dataOnly="0" labelOnly="1" fieldPosition="0">
        <references count="1">
          <reference field="10" count="0"/>
        </references>
      </pivotArea>
    </format>
    <format dxfId="49">
      <pivotArea dataOnly="0" labelOnly="1" grandRow="1" outline="0" fieldPosition="0"/>
    </format>
    <format dxfId="48">
      <pivotArea dataOnly="0" labelOnly="1" outline="0" axis="axisValues" fieldPosition="0"/>
    </format>
  </format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261481-60C7-4B67-A6FA-45D2D259823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Product Category">
  <location ref="A3:B15" firstHeaderRow="1" firstDataRow="1" firstDataCol="1"/>
  <pivotFields count="20">
    <pivotField dataField="1" showAll="0"/>
    <pivotField showAll="0"/>
    <pivotField axis="axisRow" showAll="0" sortType="descending">
      <items count="13">
        <item x="4"/>
        <item m="1" x="11"/>
        <item x="8"/>
        <item x="10"/>
        <item x="3"/>
        <item x="5"/>
        <item x="7"/>
        <item x="1"/>
        <item x="9"/>
        <item x="6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44" showAll="0"/>
    <pivotField numFmtId="44" showAll="0"/>
    <pivotField showAll="0"/>
    <pivotField numFmtId="9" showAll="0"/>
    <pivotField showAll="0"/>
    <pivotField showAll="0"/>
    <pivotField showAll="0"/>
    <pivotField showAll="0"/>
    <pivotField showAll="0"/>
    <pivotField showAll="0"/>
    <pivotField numFmtId="164" showAll="0"/>
    <pivotField numFmtId="1" showAll="0"/>
    <pivotField showAll="0"/>
    <pivotField showAll="0"/>
    <pivotField showAll="0"/>
  </pivotFields>
  <rowFields count="1">
    <field x="2"/>
  </rowFields>
  <rowItems count="12">
    <i>
      <x v="7"/>
    </i>
    <i>
      <x/>
    </i>
    <i>
      <x v="11"/>
    </i>
    <i>
      <x v="4"/>
    </i>
    <i>
      <x v="9"/>
    </i>
    <i>
      <x v="10"/>
    </i>
    <i>
      <x v="5"/>
    </i>
    <i>
      <x v="8"/>
    </i>
    <i>
      <x v="3"/>
    </i>
    <i>
      <x v="2"/>
    </i>
    <i>
      <x v="6"/>
    </i>
    <i t="grand">
      <x/>
    </i>
  </rowItems>
  <colItems count="1">
    <i/>
  </colItems>
  <dataFields count="1">
    <dataField name="Product Count" fld="0" subtotal="count" baseField="0" baseItem="0"/>
  </dataFields>
  <formats count="12">
    <format dxfId="78">
      <pivotArea type="all" dataOnly="0" outline="0" fieldPosition="0"/>
    </format>
    <format dxfId="77">
      <pivotArea outline="0" collapsedLevelsAreSubtotals="1" fieldPosition="0"/>
    </format>
    <format dxfId="76">
      <pivotArea field="2" type="button" dataOnly="0" labelOnly="1" outline="0" axis="axisRow" fieldPosition="0"/>
    </format>
    <format dxfId="75">
      <pivotArea dataOnly="0" labelOnly="1" fieldPosition="0">
        <references count="1">
          <reference field="2" count="0"/>
        </references>
      </pivotArea>
    </format>
    <format dxfId="74">
      <pivotArea dataOnly="0" labelOnly="1" grandRow="1" outline="0" fieldPosition="0"/>
    </format>
    <format dxfId="73">
      <pivotArea dataOnly="0" labelOnly="1" outline="0" axis="axisValues" fieldPosition="0"/>
    </format>
    <format dxfId="72">
      <pivotArea type="all" dataOnly="0" outline="0" fieldPosition="0"/>
    </format>
    <format dxfId="71">
      <pivotArea outline="0" collapsedLevelsAreSubtotals="1" fieldPosition="0"/>
    </format>
    <format dxfId="70">
      <pivotArea field="2" type="button" dataOnly="0" labelOnly="1" outline="0" axis="axisRow" fieldPosition="0"/>
    </format>
    <format dxfId="69">
      <pivotArea dataOnly="0" labelOnly="1" fieldPosition="0">
        <references count="1">
          <reference field="2" count="0"/>
        </references>
      </pivotArea>
    </format>
    <format dxfId="68">
      <pivotArea dataOnly="0" labelOnly="1" grandRow="1" outline="0" fieldPosition="0"/>
    </format>
    <format dxfId="67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613DFC-48B2-439A-AE04-F7D6F4C9751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Material Type">
  <location ref="A44:B48" firstHeaderRow="1" firstDataRow="1" firstDataCol="1"/>
  <pivotFields count="20">
    <pivotField dataField="1" showAll="0"/>
    <pivotField showAll="0"/>
    <pivotField showAll="0"/>
    <pivotField showAll="0"/>
    <pivotField showAll="0"/>
    <pivotField numFmtId="44" showAll="0"/>
    <pivotField numFmtId="44" showAll="0"/>
    <pivotField showAll="0"/>
    <pivotField numFmtId="9"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4" showAll="0"/>
    <pivotField numFmtId="1" showAll="0"/>
    <pivotField showAll="0"/>
    <pivotField showAll="0"/>
    <pivotField showAll="0"/>
  </pivotFields>
  <rowFields count="1">
    <field x="12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Product Count" fld="0" subtotal="count" baseField="11" baseItem="0"/>
  </dataFields>
  <formats count="16">
    <format dxfId="94">
      <pivotArea dataOnly="0" labelOnly="1" outline="0" axis="axisValues" fieldPosition="0"/>
    </format>
    <format dxfId="93">
      <pivotArea field="12" type="button" dataOnly="0" labelOnly="1" outline="0" axis="axisRow" fieldPosition="0"/>
    </format>
    <format dxfId="92">
      <pivotArea grandRow="1" outline="0" collapsedLevelsAreSubtotals="1" fieldPosition="0"/>
    </format>
    <format dxfId="91">
      <pivotArea dataOnly="0" labelOnly="1" grandRow="1" outline="0" fieldPosition="0"/>
    </format>
    <format dxfId="90">
      <pivotArea type="all" dataOnly="0" outline="0" fieldPosition="0"/>
    </format>
    <format dxfId="89">
      <pivotArea outline="0" collapsedLevelsAreSubtotals="1" fieldPosition="0"/>
    </format>
    <format dxfId="88">
      <pivotArea field="12" type="button" dataOnly="0" labelOnly="1" outline="0" axis="axisRow" fieldPosition="0"/>
    </format>
    <format dxfId="87">
      <pivotArea dataOnly="0" labelOnly="1" fieldPosition="0">
        <references count="1">
          <reference field="12" count="0"/>
        </references>
      </pivotArea>
    </format>
    <format dxfId="86">
      <pivotArea dataOnly="0" labelOnly="1" grandRow="1" outline="0" fieldPosition="0"/>
    </format>
    <format dxfId="85">
      <pivotArea dataOnly="0" labelOnly="1" outline="0" axis="axisValues" fieldPosition="0"/>
    </format>
    <format dxfId="84">
      <pivotArea type="all" dataOnly="0" outline="0" fieldPosition="0"/>
    </format>
    <format dxfId="83">
      <pivotArea outline="0" collapsedLevelsAreSubtotals="1" fieldPosition="0"/>
    </format>
    <format dxfId="82">
      <pivotArea field="12" type="button" dataOnly="0" labelOnly="1" outline="0" axis="axisRow" fieldPosition="0"/>
    </format>
    <format dxfId="81">
      <pivotArea dataOnly="0" labelOnly="1" fieldPosition="0">
        <references count="1">
          <reference field="12" count="0"/>
        </references>
      </pivotArea>
    </format>
    <format dxfId="80">
      <pivotArea dataOnly="0" labelOnly="1" grandRow="1" outline="0" fieldPosition="0"/>
    </format>
    <format dxfId="79">
      <pivotArea dataOnly="0" labelOnly="1" outline="0" axis="axisValues" fieldPosition="0"/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FD0ADA-5F40-4768-A7FE-F0B1F7A4FFC0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Product Category">
  <location ref="A77:B89" firstHeaderRow="1" firstDataRow="1" firstDataCol="1"/>
  <pivotFields count="20">
    <pivotField showAll="0"/>
    <pivotField showAll="0"/>
    <pivotField axis="axisRow" showAll="0" sortType="descending">
      <items count="13">
        <item x="4"/>
        <item m="1" x="11"/>
        <item x="8"/>
        <item x="10"/>
        <item x="3"/>
        <item x="5"/>
        <item x="7"/>
        <item x="1"/>
        <item x="9"/>
        <item x="6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44" showAll="0"/>
    <pivotField numFmtId="44" showAll="0"/>
    <pivotField showAll="0"/>
    <pivotField numFmtId="9" showAll="0"/>
    <pivotField showAll="0"/>
    <pivotField showAll="0"/>
    <pivotField showAll="0"/>
    <pivotField showAll="0"/>
    <pivotField showAll="0"/>
    <pivotField showAll="0"/>
    <pivotField dataField="1" numFmtId="164" showAll="0"/>
    <pivotField numFmtId="1" showAll="0"/>
    <pivotField showAll="0"/>
    <pivotField showAll="0"/>
    <pivotField showAll="0"/>
  </pivotFields>
  <rowFields count="1">
    <field x="2"/>
  </rowFields>
  <rowItems count="12">
    <i>
      <x v="8"/>
    </i>
    <i>
      <x v="6"/>
    </i>
    <i>
      <x v="2"/>
    </i>
    <i>
      <x v="4"/>
    </i>
    <i>
      <x v="7"/>
    </i>
    <i>
      <x v="10"/>
    </i>
    <i>
      <x v="11"/>
    </i>
    <i>
      <x v="5"/>
    </i>
    <i>
      <x/>
    </i>
    <i>
      <x v="3"/>
    </i>
    <i>
      <x v="9"/>
    </i>
    <i t="grand">
      <x/>
    </i>
  </rowItems>
  <colItems count="1">
    <i/>
  </colItems>
  <dataFields count="1">
    <dataField name="Average Rating (Stars)" fld="15" subtotal="average" baseField="2" baseItem="8" numFmtId="164"/>
  </dataFields>
  <formats count="16">
    <format dxfId="110">
      <pivotArea type="all" dataOnly="0" outline="0" fieldPosition="0"/>
    </format>
    <format dxfId="109">
      <pivotArea outline="0" collapsedLevelsAreSubtotals="1" fieldPosition="0"/>
    </format>
    <format dxfId="108">
      <pivotArea field="2" type="button" dataOnly="0" labelOnly="1" outline="0" axis="axisRow" fieldPosition="0"/>
    </format>
    <format dxfId="107">
      <pivotArea dataOnly="0" labelOnly="1" fieldPosition="0">
        <references count="1">
          <reference field="2" count="0"/>
        </references>
      </pivotArea>
    </format>
    <format dxfId="106">
      <pivotArea dataOnly="0" labelOnly="1" grandRow="1" outline="0" fieldPosition="0"/>
    </format>
    <format dxfId="105">
      <pivotArea dataOnly="0" labelOnly="1" outline="0" axis="axisValues" fieldPosition="0"/>
    </format>
    <format dxfId="104">
      <pivotArea type="all" dataOnly="0" outline="0" fieldPosition="0"/>
    </format>
    <format dxfId="103">
      <pivotArea outline="0" collapsedLevelsAreSubtotals="1" fieldPosition="0"/>
    </format>
    <format dxfId="102">
      <pivotArea field="2" type="button" dataOnly="0" labelOnly="1" outline="0" axis="axisRow" fieldPosition="0"/>
    </format>
    <format dxfId="101">
      <pivotArea dataOnly="0" labelOnly="1" fieldPosition="0">
        <references count="1">
          <reference field="2" count="0"/>
        </references>
      </pivotArea>
    </format>
    <format dxfId="100">
      <pivotArea dataOnly="0" labelOnly="1" grandRow="1" outline="0" fieldPosition="0"/>
    </format>
    <format dxfId="99">
      <pivotArea dataOnly="0" labelOnly="1" outline="0" axis="axisValues" fieldPosition="0"/>
    </format>
    <format dxfId="98">
      <pivotArea field="2" type="button" dataOnly="0" labelOnly="1" outline="0" axis="axisRow" fieldPosition="0"/>
    </format>
    <format dxfId="97">
      <pivotArea dataOnly="0" labelOnly="1" outline="0" axis="axisValues" fieldPosition="0"/>
    </format>
    <format dxfId="96">
      <pivotArea grandRow="1" outline="0" collapsedLevelsAreSubtotals="1" fieldPosition="0"/>
    </format>
    <format dxfId="95">
      <pivotArea dataOnly="0" labelOnly="1" grandRow="1" outline="0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17EB2-027D-41E4-AA9D-0624C451D561}">
  <dimension ref="A1:S94"/>
  <sheetViews>
    <sheetView topLeftCell="O23" zoomScale="103" workbookViewId="0">
      <selection activeCell="H36" sqref="H36"/>
    </sheetView>
  </sheetViews>
  <sheetFormatPr defaultColWidth="9.140625" defaultRowHeight="15.75" x14ac:dyDescent="0.25"/>
  <cols>
    <col min="1" max="1" width="53" style="40" bestFit="1" customWidth="1"/>
    <col min="2" max="2" width="17.7109375" style="41" customWidth="1"/>
    <col min="3" max="3" width="20.42578125" style="50" bestFit="1" customWidth="1"/>
    <col min="4" max="4" width="26" style="50" bestFit="1" customWidth="1"/>
    <col min="5" max="5" width="12.28515625" style="54" customWidth="1"/>
    <col min="6" max="6" width="18.42578125" style="56" customWidth="1"/>
    <col min="7" max="7" width="12.7109375" style="55" bestFit="1" customWidth="1"/>
    <col min="8" max="8" width="13.7109375" style="53" bestFit="1" customWidth="1"/>
    <col min="9" max="9" width="31.42578125" style="52" bestFit="1" customWidth="1"/>
    <col min="10" max="10" width="15.85546875" style="52" bestFit="1" customWidth="1"/>
    <col min="11" max="11" width="67.42578125" style="52" bestFit="1" customWidth="1"/>
    <col min="12" max="12" width="39.28515625" style="52" customWidth="1"/>
    <col min="13" max="13" width="20" style="52" bestFit="1" customWidth="1"/>
    <col min="14" max="14" width="46.85546875" style="52" bestFit="1" customWidth="1"/>
    <col min="15" max="15" width="17.85546875" style="57" customWidth="1"/>
    <col min="16" max="16" width="22.7109375" style="58" customWidth="1"/>
    <col min="17" max="17" width="23.28515625" style="55" customWidth="1"/>
    <col min="18" max="18" width="24.28515625" style="58" customWidth="1"/>
    <col min="19" max="19" width="117.85546875" style="52" bestFit="1" customWidth="1"/>
    <col min="20" max="16384" width="9.140625" style="51"/>
  </cols>
  <sheetData>
    <row r="1" spans="1:19" s="31" customFormat="1" ht="21" customHeight="1" x14ac:dyDescent="0.3">
      <c r="A1" s="81" t="s">
        <v>14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</row>
    <row r="2" spans="1:19" s="32" customFormat="1" ht="16.5" x14ac:dyDescent="0.25">
      <c r="A2" s="32" t="s">
        <v>0</v>
      </c>
      <c r="B2" s="33" t="s">
        <v>23</v>
      </c>
      <c r="C2" s="34" t="s">
        <v>1</v>
      </c>
      <c r="D2" s="34" t="s">
        <v>2</v>
      </c>
      <c r="E2" s="35" t="s">
        <v>3</v>
      </c>
      <c r="F2" s="35" t="s">
        <v>4</v>
      </c>
      <c r="G2" s="36" t="s">
        <v>5</v>
      </c>
      <c r="H2" s="37" t="s">
        <v>6</v>
      </c>
      <c r="I2" s="34" t="s">
        <v>7</v>
      </c>
      <c r="J2" s="34" t="s">
        <v>8</v>
      </c>
      <c r="K2" s="34" t="s">
        <v>9</v>
      </c>
      <c r="L2" s="34" t="s">
        <v>103</v>
      </c>
      <c r="M2" s="34" t="s">
        <v>13</v>
      </c>
      <c r="N2" s="34" t="s">
        <v>10</v>
      </c>
      <c r="O2" s="38" t="s">
        <v>19</v>
      </c>
      <c r="P2" s="39" t="s">
        <v>11</v>
      </c>
      <c r="Q2" s="36" t="s">
        <v>12</v>
      </c>
      <c r="R2" s="39" t="s">
        <v>18</v>
      </c>
      <c r="S2" s="34" t="s">
        <v>168</v>
      </c>
    </row>
    <row r="3" spans="1:19" s="40" customFormat="1" x14ac:dyDescent="0.25">
      <c r="A3" s="40" t="s">
        <v>15</v>
      </c>
      <c r="B3" s="41" t="s">
        <v>149</v>
      </c>
      <c r="C3" s="42" t="s">
        <v>98</v>
      </c>
      <c r="D3" s="42" t="s">
        <v>16</v>
      </c>
      <c r="E3" s="43">
        <v>98</v>
      </c>
      <c r="F3" s="43">
        <v>98</v>
      </c>
      <c r="G3" s="44" t="s">
        <v>73</v>
      </c>
      <c r="H3" s="45">
        <v>0</v>
      </c>
      <c r="I3" s="42" t="s">
        <v>17</v>
      </c>
      <c r="J3" s="42" t="s">
        <v>253</v>
      </c>
      <c r="K3" s="42" t="s">
        <v>63</v>
      </c>
      <c r="L3" s="42" t="s">
        <v>104</v>
      </c>
      <c r="M3" s="42" t="s">
        <v>20</v>
      </c>
      <c r="N3" s="42" t="s">
        <v>75</v>
      </c>
      <c r="O3" s="46">
        <v>4.2</v>
      </c>
      <c r="P3" s="47">
        <v>240</v>
      </c>
      <c r="Q3" s="44" t="s">
        <v>22</v>
      </c>
      <c r="R3" s="47">
        <v>15</v>
      </c>
      <c r="S3" s="42" t="s">
        <v>69</v>
      </c>
    </row>
    <row r="4" spans="1:19" s="40" customFormat="1" x14ac:dyDescent="0.25">
      <c r="A4" s="40" t="s">
        <v>24</v>
      </c>
      <c r="B4" s="41" t="s">
        <v>27</v>
      </c>
      <c r="C4" s="42" t="s">
        <v>25</v>
      </c>
      <c r="D4" s="42" t="s">
        <v>26</v>
      </c>
      <c r="E4" s="48">
        <v>128</v>
      </c>
      <c r="F4" s="48">
        <v>128</v>
      </c>
      <c r="G4" s="44" t="s">
        <v>73</v>
      </c>
      <c r="H4" s="49">
        <v>0</v>
      </c>
      <c r="I4" s="42" t="s">
        <v>28</v>
      </c>
      <c r="J4" s="42" t="s">
        <v>255</v>
      </c>
      <c r="K4" s="42" t="s">
        <v>42</v>
      </c>
      <c r="L4" s="42" t="s">
        <v>104</v>
      </c>
      <c r="M4" s="42" t="s">
        <v>30</v>
      </c>
      <c r="N4" s="42" t="s">
        <v>75</v>
      </c>
      <c r="O4" s="46">
        <v>4.3</v>
      </c>
      <c r="P4" s="47">
        <v>160</v>
      </c>
      <c r="Q4" s="44" t="s">
        <v>21</v>
      </c>
      <c r="R4" s="47">
        <v>9</v>
      </c>
      <c r="S4" s="42" t="s">
        <v>29</v>
      </c>
    </row>
    <row r="5" spans="1:19" s="40" customFormat="1" x14ac:dyDescent="0.25">
      <c r="A5" s="40" t="s">
        <v>367</v>
      </c>
      <c r="B5" s="41" t="s">
        <v>368</v>
      </c>
      <c r="C5" s="42" t="s">
        <v>36</v>
      </c>
      <c r="D5" s="42" t="s">
        <v>369</v>
      </c>
      <c r="E5" s="48">
        <v>78</v>
      </c>
      <c r="F5" s="48">
        <v>78</v>
      </c>
      <c r="G5" s="44" t="s">
        <v>73</v>
      </c>
      <c r="H5" s="49">
        <v>0</v>
      </c>
      <c r="I5" s="42" t="s">
        <v>370</v>
      </c>
      <c r="J5" s="42" t="s">
        <v>245</v>
      </c>
      <c r="K5" s="42" t="s">
        <v>96</v>
      </c>
      <c r="L5" s="42" t="s">
        <v>105</v>
      </c>
      <c r="M5" s="42" t="s">
        <v>30</v>
      </c>
      <c r="N5" s="42" t="s">
        <v>260</v>
      </c>
      <c r="O5" s="46">
        <v>4.4000000000000004</v>
      </c>
      <c r="P5" s="47">
        <v>31</v>
      </c>
      <c r="Q5" s="44" t="s">
        <v>21</v>
      </c>
      <c r="R5" s="47">
        <v>8</v>
      </c>
      <c r="S5" s="42" t="s">
        <v>121</v>
      </c>
    </row>
    <row r="6" spans="1:19" s="40" customFormat="1" x14ac:dyDescent="0.25">
      <c r="A6" s="40" t="s">
        <v>361</v>
      </c>
      <c r="B6" s="41" t="s">
        <v>362</v>
      </c>
      <c r="C6" s="42" t="s">
        <v>118</v>
      </c>
      <c r="D6" s="42" t="s">
        <v>363</v>
      </c>
      <c r="E6" s="48">
        <v>168</v>
      </c>
      <c r="F6" s="48">
        <v>168</v>
      </c>
      <c r="G6" s="44" t="s">
        <v>73</v>
      </c>
      <c r="H6" s="49">
        <v>0</v>
      </c>
      <c r="I6" s="42" t="s">
        <v>364</v>
      </c>
      <c r="J6" s="42" t="s">
        <v>331</v>
      </c>
      <c r="K6" s="42" t="s">
        <v>365</v>
      </c>
      <c r="L6" s="42" t="s">
        <v>106</v>
      </c>
      <c r="M6" s="42" t="s">
        <v>30</v>
      </c>
      <c r="N6" s="42" t="s">
        <v>75</v>
      </c>
      <c r="O6" s="46">
        <v>4.3</v>
      </c>
      <c r="P6" s="47">
        <v>11</v>
      </c>
      <c r="Q6" s="44" t="s">
        <v>21</v>
      </c>
      <c r="R6" s="47">
        <v>4</v>
      </c>
      <c r="S6" s="42" t="s">
        <v>366</v>
      </c>
    </row>
    <row r="7" spans="1:19" s="40" customFormat="1" x14ac:dyDescent="0.25">
      <c r="A7" s="40" t="s">
        <v>35</v>
      </c>
      <c r="B7" s="26">
        <v>107496283</v>
      </c>
      <c r="C7" s="42" t="s">
        <v>36</v>
      </c>
      <c r="D7" s="42" t="s">
        <v>40</v>
      </c>
      <c r="E7" s="48">
        <v>78</v>
      </c>
      <c r="F7" s="48">
        <v>78</v>
      </c>
      <c r="G7" s="44" t="s">
        <v>73</v>
      </c>
      <c r="H7" s="49">
        <v>0</v>
      </c>
      <c r="I7" s="42" t="s">
        <v>37</v>
      </c>
      <c r="J7" s="42" t="s">
        <v>245</v>
      </c>
      <c r="K7" s="42" t="s">
        <v>38</v>
      </c>
      <c r="L7" s="42" t="s">
        <v>106</v>
      </c>
      <c r="M7" s="42" t="s">
        <v>30</v>
      </c>
      <c r="N7" s="42" t="s">
        <v>75</v>
      </c>
      <c r="O7" s="46">
        <v>4.3</v>
      </c>
      <c r="P7" s="47">
        <v>8</v>
      </c>
      <c r="Q7" s="44" t="s">
        <v>21</v>
      </c>
      <c r="R7" s="47">
        <v>5</v>
      </c>
      <c r="S7" s="42" t="s">
        <v>39</v>
      </c>
    </row>
    <row r="8" spans="1:19" s="40" customFormat="1" x14ac:dyDescent="0.25">
      <c r="A8" s="40" t="s">
        <v>24</v>
      </c>
      <c r="B8" s="41" t="s">
        <v>27</v>
      </c>
      <c r="C8" s="42" t="s">
        <v>25</v>
      </c>
      <c r="D8" s="42" t="s">
        <v>26</v>
      </c>
      <c r="E8" s="48">
        <v>128</v>
      </c>
      <c r="F8" s="48">
        <v>128</v>
      </c>
      <c r="G8" s="44" t="s">
        <v>73</v>
      </c>
      <c r="H8" s="49">
        <v>0</v>
      </c>
      <c r="I8" s="42" t="s">
        <v>41</v>
      </c>
      <c r="J8" s="42" t="s">
        <v>253</v>
      </c>
      <c r="K8" s="42" t="s">
        <v>42</v>
      </c>
      <c r="L8" s="42" t="s">
        <v>104</v>
      </c>
      <c r="M8" s="42" t="s">
        <v>30</v>
      </c>
      <c r="N8" s="42" t="s">
        <v>75</v>
      </c>
      <c r="O8" s="46">
        <v>4.3</v>
      </c>
      <c r="P8" s="47">
        <v>160</v>
      </c>
      <c r="Q8" s="44" t="s">
        <v>22</v>
      </c>
      <c r="R8" s="47">
        <v>9</v>
      </c>
      <c r="S8" s="42" t="s">
        <v>43</v>
      </c>
    </row>
    <row r="9" spans="1:19" s="40" customFormat="1" x14ac:dyDescent="0.25">
      <c r="A9" s="40" t="s">
        <v>44</v>
      </c>
      <c r="B9" s="41" t="s">
        <v>45</v>
      </c>
      <c r="C9" s="42" t="s">
        <v>78</v>
      </c>
      <c r="D9" s="42" t="s">
        <v>46</v>
      </c>
      <c r="E9" s="48">
        <v>25</v>
      </c>
      <c r="F9" s="48">
        <v>25</v>
      </c>
      <c r="G9" s="44" t="s">
        <v>73</v>
      </c>
      <c r="H9" s="49">
        <v>0</v>
      </c>
      <c r="I9" s="42" t="s">
        <v>47</v>
      </c>
      <c r="J9" s="42" t="s">
        <v>256</v>
      </c>
      <c r="K9" s="42" t="s">
        <v>48</v>
      </c>
      <c r="L9" s="42" t="s">
        <v>104</v>
      </c>
      <c r="M9" s="42" t="s">
        <v>30</v>
      </c>
      <c r="N9" s="42" t="s">
        <v>57</v>
      </c>
      <c r="O9" s="46">
        <v>3.4</v>
      </c>
      <c r="P9" s="47">
        <v>139</v>
      </c>
      <c r="Q9" s="44" t="s">
        <v>21</v>
      </c>
      <c r="R9" s="47">
        <v>6</v>
      </c>
      <c r="S9" s="42" t="s">
        <v>49</v>
      </c>
    </row>
    <row r="10" spans="1:19" s="40" customFormat="1" x14ac:dyDescent="0.25">
      <c r="A10" s="40" t="s">
        <v>50</v>
      </c>
      <c r="B10" s="41" t="s">
        <v>51</v>
      </c>
      <c r="C10" s="42" t="s">
        <v>52</v>
      </c>
      <c r="D10" s="42" t="s">
        <v>53</v>
      </c>
      <c r="E10" s="48">
        <v>148</v>
      </c>
      <c r="F10" s="48">
        <v>148</v>
      </c>
      <c r="G10" s="44" t="s">
        <v>73</v>
      </c>
      <c r="H10" s="49">
        <v>0</v>
      </c>
      <c r="I10" s="42" t="s">
        <v>54</v>
      </c>
      <c r="J10" s="42" t="s">
        <v>254</v>
      </c>
      <c r="K10" s="42" t="s">
        <v>62</v>
      </c>
      <c r="L10" s="42" t="s">
        <v>104</v>
      </c>
      <c r="M10" s="42" t="s">
        <v>30</v>
      </c>
      <c r="N10" s="42" t="s">
        <v>75</v>
      </c>
      <c r="O10" s="46">
        <v>4.3</v>
      </c>
      <c r="P10" s="47">
        <v>451</v>
      </c>
      <c r="Q10" s="44" t="s">
        <v>22</v>
      </c>
      <c r="R10" s="47">
        <v>9</v>
      </c>
      <c r="S10" s="42" t="s">
        <v>58</v>
      </c>
    </row>
    <row r="11" spans="1:19" s="40" customFormat="1" x14ac:dyDescent="0.25">
      <c r="A11" s="40" t="s">
        <v>59</v>
      </c>
      <c r="B11" s="41" t="s">
        <v>150</v>
      </c>
      <c r="C11" s="42" t="s">
        <v>78</v>
      </c>
      <c r="D11" s="42" t="s">
        <v>31</v>
      </c>
      <c r="E11" s="48">
        <v>178</v>
      </c>
      <c r="F11" s="48">
        <v>178</v>
      </c>
      <c r="G11" s="44" t="s">
        <v>73</v>
      </c>
      <c r="H11" s="49">
        <v>0</v>
      </c>
      <c r="I11" s="42" t="s">
        <v>60</v>
      </c>
      <c r="J11" s="42" t="s">
        <v>245</v>
      </c>
      <c r="K11" s="42" t="s">
        <v>61</v>
      </c>
      <c r="L11" s="42" t="s">
        <v>105</v>
      </c>
      <c r="M11" s="42" t="s">
        <v>30</v>
      </c>
      <c r="N11" s="42" t="s">
        <v>261</v>
      </c>
      <c r="O11" s="46">
        <v>4.3</v>
      </c>
      <c r="P11" s="47">
        <v>415</v>
      </c>
      <c r="Q11" s="44" t="s">
        <v>21</v>
      </c>
      <c r="R11" s="47">
        <v>9</v>
      </c>
      <c r="S11" s="42" t="s">
        <v>33</v>
      </c>
    </row>
    <row r="12" spans="1:19" s="40" customFormat="1" x14ac:dyDescent="0.25">
      <c r="A12" s="40" t="s">
        <v>64</v>
      </c>
      <c r="B12" s="41" t="s">
        <v>65</v>
      </c>
      <c r="C12" s="42" t="s">
        <v>36</v>
      </c>
      <c r="D12" s="42" t="s">
        <v>66</v>
      </c>
      <c r="E12" s="48">
        <v>98</v>
      </c>
      <c r="F12" s="48">
        <v>98</v>
      </c>
      <c r="G12" s="44" t="s">
        <v>73</v>
      </c>
      <c r="H12" s="49">
        <v>0</v>
      </c>
      <c r="I12" s="42" t="s">
        <v>67</v>
      </c>
      <c r="J12" s="42" t="s">
        <v>257</v>
      </c>
      <c r="K12" s="42" t="s">
        <v>107</v>
      </c>
      <c r="L12" s="42" t="s">
        <v>106</v>
      </c>
      <c r="M12" s="42" t="s">
        <v>30</v>
      </c>
      <c r="N12" s="42" t="s">
        <v>75</v>
      </c>
      <c r="O12" s="46">
        <v>4</v>
      </c>
      <c r="P12" s="47">
        <v>43</v>
      </c>
      <c r="Q12" s="44" t="s">
        <v>21</v>
      </c>
      <c r="R12" s="47">
        <v>13</v>
      </c>
      <c r="S12" s="42" t="s">
        <v>68</v>
      </c>
    </row>
    <row r="13" spans="1:19" s="40" customFormat="1" x14ac:dyDescent="0.25">
      <c r="A13" s="40" t="s">
        <v>70</v>
      </c>
      <c r="B13" s="41" t="s">
        <v>71</v>
      </c>
      <c r="C13" s="42" t="s">
        <v>36</v>
      </c>
      <c r="D13" s="42" t="s">
        <v>72</v>
      </c>
      <c r="E13" s="48">
        <v>40</v>
      </c>
      <c r="F13" s="48">
        <v>40</v>
      </c>
      <c r="G13" s="44" t="s">
        <v>73</v>
      </c>
      <c r="H13" s="49">
        <v>0</v>
      </c>
      <c r="I13" s="42" t="s">
        <v>74</v>
      </c>
      <c r="J13" s="42" t="s">
        <v>253</v>
      </c>
      <c r="K13" s="42" t="s">
        <v>156</v>
      </c>
      <c r="L13" s="42" t="s">
        <v>104</v>
      </c>
      <c r="M13" s="42" t="s">
        <v>30</v>
      </c>
      <c r="N13" s="42" t="s">
        <v>75</v>
      </c>
      <c r="O13" s="46">
        <v>4.2</v>
      </c>
      <c r="P13" s="47">
        <v>81</v>
      </c>
      <c r="Q13" s="44" t="s">
        <v>22</v>
      </c>
      <c r="R13" s="47">
        <v>12</v>
      </c>
      <c r="S13" s="42" t="s">
        <v>76</v>
      </c>
    </row>
    <row r="14" spans="1:19" s="40" customFormat="1" x14ac:dyDescent="0.25">
      <c r="A14" s="40" t="s">
        <v>77</v>
      </c>
      <c r="B14" s="41" t="s">
        <v>151</v>
      </c>
      <c r="C14" s="42" t="s">
        <v>78</v>
      </c>
      <c r="D14" s="42" t="s">
        <v>79</v>
      </c>
      <c r="E14" s="48">
        <v>38</v>
      </c>
      <c r="F14" s="48">
        <v>38</v>
      </c>
      <c r="G14" s="44" t="s">
        <v>73</v>
      </c>
      <c r="H14" s="49">
        <v>0</v>
      </c>
      <c r="I14" s="42" t="s">
        <v>55</v>
      </c>
      <c r="J14" s="42" t="s">
        <v>255</v>
      </c>
      <c r="K14" s="42" t="s">
        <v>80</v>
      </c>
      <c r="L14" s="42" t="s">
        <v>105</v>
      </c>
      <c r="M14" s="42" t="s">
        <v>82</v>
      </c>
      <c r="N14" s="42" t="s">
        <v>261</v>
      </c>
      <c r="O14" s="46">
        <v>4.5999999999999996</v>
      </c>
      <c r="P14" s="47">
        <v>7</v>
      </c>
      <c r="Q14" s="44" t="s">
        <v>21</v>
      </c>
      <c r="R14" s="47">
        <v>5</v>
      </c>
      <c r="S14" s="42" t="s">
        <v>81</v>
      </c>
    </row>
    <row r="15" spans="1:19" s="40" customFormat="1" x14ac:dyDescent="0.25">
      <c r="A15" s="40" t="s">
        <v>148</v>
      </c>
      <c r="B15" s="41" t="s">
        <v>83</v>
      </c>
      <c r="C15" s="42" t="s">
        <v>78</v>
      </c>
      <c r="D15" s="42" t="s">
        <v>84</v>
      </c>
      <c r="E15" s="48">
        <v>48</v>
      </c>
      <c r="F15" s="48">
        <v>48</v>
      </c>
      <c r="G15" s="44" t="s">
        <v>73</v>
      </c>
      <c r="H15" s="49">
        <v>0</v>
      </c>
      <c r="I15" s="42" t="s">
        <v>85</v>
      </c>
      <c r="J15" s="42" t="s">
        <v>253</v>
      </c>
      <c r="K15" s="42" t="s">
        <v>87</v>
      </c>
      <c r="L15" s="42" t="s">
        <v>105</v>
      </c>
      <c r="M15" s="42" t="s">
        <v>86</v>
      </c>
      <c r="N15" s="42" t="s">
        <v>261</v>
      </c>
      <c r="O15" s="46">
        <v>4</v>
      </c>
      <c r="P15" s="47">
        <v>42</v>
      </c>
      <c r="Q15" s="44" t="s">
        <v>21</v>
      </c>
      <c r="R15" s="44">
        <v>13</v>
      </c>
      <c r="S15" s="42" t="s">
        <v>88</v>
      </c>
    </row>
    <row r="16" spans="1:19" s="40" customFormat="1" x14ac:dyDescent="0.25">
      <c r="A16" s="40" t="s">
        <v>89</v>
      </c>
      <c r="B16" s="41" t="s">
        <v>90</v>
      </c>
      <c r="C16" s="42" t="s">
        <v>78</v>
      </c>
      <c r="D16" s="42" t="s">
        <v>31</v>
      </c>
      <c r="E16" s="48">
        <v>198</v>
      </c>
      <c r="F16" s="48">
        <v>198</v>
      </c>
      <c r="G16" s="44" t="s">
        <v>73</v>
      </c>
      <c r="H16" s="49">
        <v>0</v>
      </c>
      <c r="I16" s="42" t="s">
        <v>91</v>
      </c>
      <c r="J16" s="42" t="s">
        <v>253</v>
      </c>
      <c r="K16" s="42" t="s">
        <v>61</v>
      </c>
      <c r="L16" s="42" t="s">
        <v>105</v>
      </c>
      <c r="M16" s="42" t="s">
        <v>92</v>
      </c>
      <c r="N16" s="42" t="s">
        <v>261</v>
      </c>
      <c r="O16" s="46">
        <v>4.0999999999999996</v>
      </c>
      <c r="P16" s="47">
        <v>7</v>
      </c>
      <c r="Q16" s="44" t="s">
        <v>21</v>
      </c>
      <c r="R16" s="47">
        <v>2</v>
      </c>
      <c r="S16" s="42" t="s">
        <v>93</v>
      </c>
    </row>
    <row r="17" spans="1:19" s="40" customFormat="1" x14ac:dyDescent="0.25">
      <c r="A17" s="40" t="s">
        <v>94</v>
      </c>
      <c r="B17" s="41" t="s">
        <v>152</v>
      </c>
      <c r="C17" s="42" t="s">
        <v>36</v>
      </c>
      <c r="D17" s="42" t="s">
        <v>66</v>
      </c>
      <c r="E17" s="48">
        <v>48</v>
      </c>
      <c r="F17" s="48">
        <v>48</v>
      </c>
      <c r="G17" s="44" t="s">
        <v>73</v>
      </c>
      <c r="H17" s="49">
        <v>0</v>
      </c>
      <c r="I17" s="42" t="s">
        <v>95</v>
      </c>
      <c r="J17" s="42" t="s">
        <v>258</v>
      </c>
      <c r="K17" s="42" t="s">
        <v>96</v>
      </c>
      <c r="L17" s="42" t="s">
        <v>105</v>
      </c>
      <c r="M17" s="42" t="s">
        <v>30</v>
      </c>
      <c r="N17" s="42" t="s">
        <v>75</v>
      </c>
      <c r="O17" s="46">
        <v>4.3</v>
      </c>
      <c r="P17" s="47">
        <v>22</v>
      </c>
      <c r="Q17" s="44" t="s">
        <v>22</v>
      </c>
      <c r="R17" s="47">
        <v>7</v>
      </c>
      <c r="S17" s="42" t="s">
        <v>115</v>
      </c>
    </row>
    <row r="18" spans="1:19" s="40" customFormat="1" x14ac:dyDescent="0.25">
      <c r="A18" s="40" t="s">
        <v>97</v>
      </c>
      <c r="B18" s="41" t="s">
        <v>153</v>
      </c>
      <c r="C18" s="42" t="s">
        <v>98</v>
      </c>
      <c r="D18" s="42" t="s">
        <v>99</v>
      </c>
      <c r="E18" s="48">
        <v>168</v>
      </c>
      <c r="F18" s="48">
        <v>168</v>
      </c>
      <c r="G18" s="44" t="s">
        <v>73</v>
      </c>
      <c r="H18" s="49">
        <v>0</v>
      </c>
      <c r="I18" s="42" t="s">
        <v>100</v>
      </c>
      <c r="J18" s="42" t="s">
        <v>256</v>
      </c>
      <c r="K18" s="42" t="s">
        <v>101</v>
      </c>
      <c r="L18" s="42" t="s">
        <v>104</v>
      </c>
      <c r="M18" s="42" t="s">
        <v>20</v>
      </c>
      <c r="N18" s="42" t="s">
        <v>193</v>
      </c>
      <c r="O18" s="46">
        <v>4</v>
      </c>
      <c r="P18" s="47">
        <v>33</v>
      </c>
      <c r="Q18" s="44" t="s">
        <v>21</v>
      </c>
      <c r="R18" s="47">
        <v>3</v>
      </c>
      <c r="S18" s="42" t="s">
        <v>102</v>
      </c>
    </row>
    <row r="19" spans="1:19" s="40" customFormat="1" x14ac:dyDescent="0.25">
      <c r="A19" s="40" t="s">
        <v>108</v>
      </c>
      <c r="B19" s="41" t="s">
        <v>109</v>
      </c>
      <c r="C19" s="42" t="s">
        <v>110</v>
      </c>
      <c r="D19" s="42" t="s">
        <v>111</v>
      </c>
      <c r="E19" s="48">
        <v>128</v>
      </c>
      <c r="F19" s="48">
        <v>128</v>
      </c>
      <c r="G19" s="44" t="s">
        <v>73</v>
      </c>
      <c r="H19" s="49">
        <v>0</v>
      </c>
      <c r="I19" s="42" t="s">
        <v>112</v>
      </c>
      <c r="J19" s="42" t="s">
        <v>253</v>
      </c>
      <c r="K19" s="42" t="s">
        <v>113</v>
      </c>
      <c r="L19" s="42" t="s">
        <v>104</v>
      </c>
      <c r="M19" s="42" t="s">
        <v>114</v>
      </c>
      <c r="N19" s="42" t="s">
        <v>261</v>
      </c>
      <c r="O19" s="46">
        <v>4.0999999999999996</v>
      </c>
      <c r="P19" s="47">
        <v>21</v>
      </c>
      <c r="Q19" s="44" t="s">
        <v>22</v>
      </c>
      <c r="R19" s="47">
        <v>5</v>
      </c>
      <c r="S19" s="42" t="s">
        <v>116</v>
      </c>
    </row>
    <row r="20" spans="1:19" s="40" customFormat="1" x14ac:dyDescent="0.25">
      <c r="A20" s="40" t="s">
        <v>117</v>
      </c>
      <c r="B20" s="41" t="s">
        <v>154</v>
      </c>
      <c r="C20" s="42" t="s">
        <v>118</v>
      </c>
      <c r="D20" s="42" t="s">
        <v>119</v>
      </c>
      <c r="E20" s="48">
        <v>128</v>
      </c>
      <c r="F20" s="48">
        <v>128</v>
      </c>
      <c r="G20" s="44" t="s">
        <v>73</v>
      </c>
      <c r="H20" s="49">
        <v>0</v>
      </c>
      <c r="I20" s="42" t="s">
        <v>120</v>
      </c>
      <c r="J20" s="42" t="s">
        <v>253</v>
      </c>
      <c r="K20" s="42" t="s">
        <v>96</v>
      </c>
      <c r="L20" s="42" t="s">
        <v>105</v>
      </c>
      <c r="M20" s="42" t="s">
        <v>30</v>
      </c>
      <c r="N20" s="42" t="s">
        <v>75</v>
      </c>
      <c r="O20" s="46">
        <v>4.5999999999999996</v>
      </c>
      <c r="P20" s="47">
        <v>340</v>
      </c>
      <c r="Q20" s="44" t="s">
        <v>21</v>
      </c>
      <c r="R20" s="47">
        <v>4</v>
      </c>
      <c r="S20" s="42" t="s">
        <v>121</v>
      </c>
    </row>
    <row r="21" spans="1:19" s="40" customFormat="1" x14ac:dyDescent="0.25">
      <c r="A21" s="40" t="s">
        <v>122</v>
      </c>
      <c r="B21" s="41" t="s">
        <v>123</v>
      </c>
      <c r="C21" s="42" t="s">
        <v>118</v>
      </c>
      <c r="D21" s="42" t="s">
        <v>124</v>
      </c>
      <c r="E21" s="48">
        <v>198</v>
      </c>
      <c r="F21" s="48">
        <v>198</v>
      </c>
      <c r="G21" s="44" t="s">
        <v>73</v>
      </c>
      <c r="H21" s="49">
        <v>0</v>
      </c>
      <c r="I21" s="42" t="s">
        <v>125</v>
      </c>
      <c r="J21" s="42" t="s">
        <v>253</v>
      </c>
      <c r="K21" s="42" t="s">
        <v>96</v>
      </c>
      <c r="L21" s="42" t="s">
        <v>105</v>
      </c>
      <c r="M21" s="42" t="s">
        <v>30</v>
      </c>
      <c r="N21" s="42" t="s">
        <v>260</v>
      </c>
      <c r="O21" s="46">
        <v>3.7</v>
      </c>
      <c r="P21" s="47">
        <v>7</v>
      </c>
      <c r="Q21" s="44" t="s">
        <v>21</v>
      </c>
      <c r="R21" s="47">
        <v>3</v>
      </c>
      <c r="S21" s="42" t="s">
        <v>121</v>
      </c>
    </row>
    <row r="22" spans="1:19" s="40" customFormat="1" x14ac:dyDescent="0.25">
      <c r="A22" s="40" t="s">
        <v>126</v>
      </c>
      <c r="B22" s="41" t="s">
        <v>127</v>
      </c>
      <c r="C22" s="42" t="s">
        <v>118</v>
      </c>
      <c r="D22" s="42" t="s">
        <v>128</v>
      </c>
      <c r="E22" s="48">
        <v>198</v>
      </c>
      <c r="F22" s="48">
        <v>198</v>
      </c>
      <c r="G22" s="44" t="s">
        <v>73</v>
      </c>
      <c r="H22" s="49">
        <v>0</v>
      </c>
      <c r="I22" s="42" t="s">
        <v>129</v>
      </c>
      <c r="J22" s="42" t="s">
        <v>253</v>
      </c>
      <c r="K22" s="42" t="s">
        <v>130</v>
      </c>
      <c r="L22" s="42" t="s">
        <v>104</v>
      </c>
      <c r="M22" s="42" t="s">
        <v>131</v>
      </c>
      <c r="N22" s="42" t="s">
        <v>260</v>
      </c>
      <c r="O22" s="46">
        <v>4.5</v>
      </c>
      <c r="P22" s="47">
        <v>897</v>
      </c>
      <c r="Q22" s="44" t="s">
        <v>22</v>
      </c>
      <c r="R22" s="47">
        <v>5</v>
      </c>
      <c r="S22" s="42" t="s">
        <v>140</v>
      </c>
    </row>
    <row r="23" spans="1:19" s="40" customFormat="1" x14ac:dyDescent="0.25">
      <c r="A23" s="40" t="s">
        <v>132</v>
      </c>
      <c r="B23" s="41" t="s">
        <v>155</v>
      </c>
      <c r="C23" s="42" t="s">
        <v>25</v>
      </c>
      <c r="D23" s="42" t="s">
        <v>52</v>
      </c>
      <c r="E23" s="48">
        <v>148</v>
      </c>
      <c r="F23" s="48">
        <v>148</v>
      </c>
      <c r="G23" s="44" t="s">
        <v>73</v>
      </c>
      <c r="H23" s="49">
        <v>0</v>
      </c>
      <c r="I23" s="42" t="s">
        <v>133</v>
      </c>
      <c r="J23" s="42" t="s">
        <v>254</v>
      </c>
      <c r="K23" s="42" t="s">
        <v>134</v>
      </c>
      <c r="L23" s="42" t="s">
        <v>104</v>
      </c>
      <c r="M23" s="42" t="s">
        <v>30</v>
      </c>
      <c r="N23" s="42" t="s">
        <v>56</v>
      </c>
      <c r="O23" s="46">
        <v>4.3</v>
      </c>
      <c r="P23" s="47">
        <v>40</v>
      </c>
      <c r="Q23" s="44" t="s">
        <v>21</v>
      </c>
      <c r="R23" s="47">
        <v>5</v>
      </c>
      <c r="S23" s="42" t="s">
        <v>135</v>
      </c>
    </row>
    <row r="24" spans="1:19" s="40" customFormat="1" x14ac:dyDescent="0.25">
      <c r="A24" s="40" t="s">
        <v>136</v>
      </c>
      <c r="B24" s="41" t="s">
        <v>137</v>
      </c>
      <c r="C24" s="42" t="s">
        <v>25</v>
      </c>
      <c r="D24" s="42" t="s">
        <v>52</v>
      </c>
      <c r="E24" s="48">
        <v>128</v>
      </c>
      <c r="F24" s="48">
        <v>128</v>
      </c>
      <c r="G24" s="44" t="s">
        <v>73</v>
      </c>
      <c r="H24" s="49">
        <v>0</v>
      </c>
      <c r="I24" s="42" t="s">
        <v>138</v>
      </c>
      <c r="J24" s="42" t="s">
        <v>254</v>
      </c>
      <c r="K24" s="42" t="s">
        <v>96</v>
      </c>
      <c r="L24" s="42" t="s">
        <v>105</v>
      </c>
      <c r="M24" s="42" t="s">
        <v>139</v>
      </c>
      <c r="N24" s="42" t="s">
        <v>56</v>
      </c>
      <c r="O24" s="46">
        <v>4.2</v>
      </c>
      <c r="P24" s="47">
        <v>182</v>
      </c>
      <c r="Q24" s="44" t="s">
        <v>22</v>
      </c>
      <c r="R24" s="47">
        <v>10</v>
      </c>
      <c r="S24" s="42" t="s">
        <v>141</v>
      </c>
    </row>
    <row r="25" spans="1:19" s="40" customFormat="1" x14ac:dyDescent="0.25">
      <c r="A25" s="40" t="s">
        <v>142</v>
      </c>
      <c r="B25" s="41" t="s">
        <v>143</v>
      </c>
      <c r="C25" s="42" t="s">
        <v>98</v>
      </c>
      <c r="D25" s="42" t="s">
        <v>144</v>
      </c>
      <c r="E25" s="48">
        <v>168</v>
      </c>
      <c r="F25" s="48">
        <v>168</v>
      </c>
      <c r="G25" s="44" t="s">
        <v>73</v>
      </c>
      <c r="H25" s="49">
        <v>0</v>
      </c>
      <c r="I25" s="42" t="s">
        <v>145</v>
      </c>
      <c r="J25" s="42" t="s">
        <v>259</v>
      </c>
      <c r="K25" s="42" t="s">
        <v>146</v>
      </c>
      <c r="L25" s="42" t="s">
        <v>105</v>
      </c>
      <c r="M25" s="42" t="s">
        <v>30</v>
      </c>
      <c r="N25" s="42" t="s">
        <v>75</v>
      </c>
      <c r="O25" s="46">
        <v>4.3</v>
      </c>
      <c r="P25" s="47">
        <v>108</v>
      </c>
      <c r="Q25" s="44" t="s">
        <v>22</v>
      </c>
      <c r="R25" s="47">
        <v>16</v>
      </c>
      <c r="S25" s="42" t="s">
        <v>147</v>
      </c>
    </row>
    <row r="26" spans="1:19" s="40" customFormat="1" x14ac:dyDescent="0.25">
      <c r="A26" s="40" t="s">
        <v>157</v>
      </c>
      <c r="B26" s="41" t="s">
        <v>159</v>
      </c>
      <c r="C26" s="42" t="s">
        <v>36</v>
      </c>
      <c r="D26" s="42" t="s">
        <v>66</v>
      </c>
      <c r="E26" s="48">
        <v>38</v>
      </c>
      <c r="F26" s="48">
        <v>38</v>
      </c>
      <c r="G26" s="44" t="s">
        <v>73</v>
      </c>
      <c r="H26" s="49">
        <v>0</v>
      </c>
      <c r="I26" s="42" t="s">
        <v>158</v>
      </c>
      <c r="J26" s="42" t="s">
        <v>259</v>
      </c>
      <c r="K26" s="42" t="s">
        <v>160</v>
      </c>
      <c r="L26" s="42" t="s">
        <v>104</v>
      </c>
      <c r="M26" s="42" t="s">
        <v>30</v>
      </c>
      <c r="N26" s="42" t="s">
        <v>75</v>
      </c>
      <c r="O26" s="46">
        <v>4.3</v>
      </c>
      <c r="P26" s="47">
        <v>145</v>
      </c>
      <c r="Q26" s="44" t="s">
        <v>22</v>
      </c>
      <c r="R26" s="47">
        <v>15</v>
      </c>
      <c r="S26" s="42" t="s">
        <v>161</v>
      </c>
    </row>
    <row r="27" spans="1:19" s="40" customFormat="1" x14ac:dyDescent="0.25">
      <c r="A27" s="40" t="s">
        <v>162</v>
      </c>
      <c r="B27" s="41" t="s">
        <v>163</v>
      </c>
      <c r="C27" s="42" t="s">
        <v>78</v>
      </c>
      <c r="D27" s="42" t="s">
        <v>31</v>
      </c>
      <c r="E27" s="48">
        <v>248</v>
      </c>
      <c r="F27" s="48">
        <v>248</v>
      </c>
      <c r="G27" s="44" t="s">
        <v>73</v>
      </c>
      <c r="H27" s="49">
        <v>0</v>
      </c>
      <c r="I27" s="42" t="s">
        <v>60</v>
      </c>
      <c r="J27" s="42" t="s">
        <v>245</v>
      </c>
      <c r="K27" s="42" t="s">
        <v>61</v>
      </c>
      <c r="L27" s="42" t="s">
        <v>105</v>
      </c>
      <c r="M27" s="42" t="s">
        <v>30</v>
      </c>
      <c r="N27" s="42" t="s">
        <v>261</v>
      </c>
      <c r="O27" s="46">
        <v>4.0999999999999996</v>
      </c>
      <c r="P27" s="47">
        <v>421</v>
      </c>
      <c r="Q27" s="44" t="s">
        <v>21</v>
      </c>
      <c r="R27" s="47">
        <v>11</v>
      </c>
      <c r="S27" s="42" t="s">
        <v>33</v>
      </c>
    </row>
    <row r="28" spans="1:19" s="40" customFormat="1" x14ac:dyDescent="0.25">
      <c r="A28" s="40" t="s">
        <v>164</v>
      </c>
      <c r="B28" s="41" t="s">
        <v>165</v>
      </c>
      <c r="C28" s="42" t="s">
        <v>78</v>
      </c>
      <c r="D28" s="42" t="s">
        <v>31</v>
      </c>
      <c r="E28" s="48">
        <v>98</v>
      </c>
      <c r="F28" s="48">
        <v>98</v>
      </c>
      <c r="G28" s="44" t="s">
        <v>73</v>
      </c>
      <c r="H28" s="49">
        <v>0</v>
      </c>
      <c r="I28" s="42" t="s">
        <v>166</v>
      </c>
      <c r="J28" s="42" t="s">
        <v>267</v>
      </c>
      <c r="K28" s="42" t="s">
        <v>167</v>
      </c>
      <c r="L28" s="42" t="s">
        <v>105</v>
      </c>
      <c r="M28" s="42" t="s">
        <v>30</v>
      </c>
      <c r="N28" s="42" t="s">
        <v>261</v>
      </c>
      <c r="O28" s="46">
        <v>4.2</v>
      </c>
      <c r="P28" s="47">
        <v>200</v>
      </c>
      <c r="Q28" s="44" t="s">
        <v>21</v>
      </c>
      <c r="R28" s="47">
        <v>9</v>
      </c>
      <c r="S28" s="42" t="s">
        <v>416</v>
      </c>
    </row>
    <row r="29" spans="1:19" s="40" customFormat="1" x14ac:dyDescent="0.25">
      <c r="A29" s="40" t="s">
        <v>169</v>
      </c>
      <c r="B29" s="41" t="s">
        <v>170</v>
      </c>
      <c r="C29" s="42" t="s">
        <v>98</v>
      </c>
      <c r="D29" s="42" t="s">
        <v>99</v>
      </c>
      <c r="E29" s="48">
        <v>98</v>
      </c>
      <c r="F29" s="48">
        <v>98</v>
      </c>
      <c r="G29" s="44" t="s">
        <v>73</v>
      </c>
      <c r="H29" s="49">
        <v>0</v>
      </c>
      <c r="I29" s="42" t="s">
        <v>171</v>
      </c>
      <c r="J29" s="42" t="s">
        <v>259</v>
      </c>
      <c r="K29" s="42" t="s">
        <v>172</v>
      </c>
      <c r="L29" s="42" t="s">
        <v>104</v>
      </c>
      <c r="M29" s="42" t="s">
        <v>30</v>
      </c>
      <c r="N29" s="42" t="s">
        <v>75</v>
      </c>
      <c r="O29" s="46">
        <v>4.5999999999999996</v>
      </c>
      <c r="P29" s="47">
        <v>29</v>
      </c>
      <c r="Q29" s="44" t="s">
        <v>21</v>
      </c>
      <c r="R29" s="47">
        <v>7</v>
      </c>
      <c r="S29" s="42" t="s">
        <v>173</v>
      </c>
    </row>
    <row r="30" spans="1:19" s="40" customFormat="1" x14ac:dyDescent="0.25">
      <c r="A30" s="40" t="s">
        <v>162</v>
      </c>
      <c r="B30" s="41" t="s">
        <v>163</v>
      </c>
      <c r="C30" s="42" t="s">
        <v>78</v>
      </c>
      <c r="D30" s="42" t="s">
        <v>31</v>
      </c>
      <c r="E30" s="48">
        <v>248</v>
      </c>
      <c r="F30" s="48">
        <v>248</v>
      </c>
      <c r="G30" s="44" t="s">
        <v>73</v>
      </c>
      <c r="H30" s="49">
        <v>0</v>
      </c>
      <c r="I30" s="42" t="s">
        <v>91</v>
      </c>
      <c r="J30" s="42" t="s">
        <v>253</v>
      </c>
      <c r="K30" s="42" t="s">
        <v>61</v>
      </c>
      <c r="L30" s="42" t="s">
        <v>105</v>
      </c>
      <c r="M30" s="42" t="s">
        <v>30</v>
      </c>
      <c r="N30" s="42" t="s">
        <v>261</v>
      </c>
      <c r="O30" s="46">
        <v>4.0999999999999996</v>
      </c>
      <c r="P30" s="47">
        <v>421</v>
      </c>
      <c r="Q30" s="44" t="s">
        <v>21</v>
      </c>
      <c r="R30" s="47">
        <v>11</v>
      </c>
      <c r="S30" s="42" t="s">
        <v>33</v>
      </c>
    </row>
    <row r="31" spans="1:19" s="40" customFormat="1" x14ac:dyDescent="0.25">
      <c r="A31" s="40" t="s">
        <v>174</v>
      </c>
      <c r="B31" s="41" t="s">
        <v>175</v>
      </c>
      <c r="C31" s="42" t="s">
        <v>25</v>
      </c>
      <c r="D31" s="42" t="s">
        <v>52</v>
      </c>
      <c r="E31" s="48">
        <v>98</v>
      </c>
      <c r="F31" s="48">
        <v>98</v>
      </c>
      <c r="G31" s="44" t="s">
        <v>73</v>
      </c>
      <c r="H31" s="49">
        <v>0</v>
      </c>
      <c r="I31" s="42" t="s">
        <v>176</v>
      </c>
      <c r="J31" s="42" t="s">
        <v>254</v>
      </c>
      <c r="K31" s="42" t="s">
        <v>96</v>
      </c>
      <c r="L31" s="42" t="s">
        <v>105</v>
      </c>
      <c r="M31" s="42" t="s">
        <v>30</v>
      </c>
      <c r="N31" s="42" t="s">
        <v>75</v>
      </c>
      <c r="O31" s="46">
        <v>4.0999999999999996</v>
      </c>
      <c r="P31" s="47">
        <v>89</v>
      </c>
      <c r="Q31" s="44" t="s">
        <v>22</v>
      </c>
      <c r="R31" s="47">
        <v>6</v>
      </c>
      <c r="S31" s="42" t="s">
        <v>177</v>
      </c>
    </row>
    <row r="32" spans="1:19" s="40" customFormat="1" x14ac:dyDescent="0.25">
      <c r="A32" s="40" t="s">
        <v>178</v>
      </c>
      <c r="B32" s="41" t="s">
        <v>179</v>
      </c>
      <c r="C32" s="42" t="s">
        <v>78</v>
      </c>
      <c r="D32" s="42" t="s">
        <v>180</v>
      </c>
      <c r="E32" s="48">
        <v>48</v>
      </c>
      <c r="F32" s="48">
        <v>48</v>
      </c>
      <c r="G32" s="44" t="s">
        <v>73</v>
      </c>
      <c r="H32" s="49">
        <v>0</v>
      </c>
      <c r="I32" s="42" t="s">
        <v>181</v>
      </c>
      <c r="J32" s="42" t="s">
        <v>258</v>
      </c>
      <c r="K32" s="42" t="s">
        <v>61</v>
      </c>
      <c r="L32" s="42" t="s">
        <v>105</v>
      </c>
      <c r="M32" s="42" t="s">
        <v>30</v>
      </c>
      <c r="N32" s="42" t="s">
        <v>75</v>
      </c>
      <c r="O32" s="46">
        <v>4.2</v>
      </c>
      <c r="P32" s="47">
        <v>6</v>
      </c>
      <c r="Q32" s="44" t="s">
        <v>22</v>
      </c>
      <c r="R32" s="47">
        <v>5</v>
      </c>
      <c r="S32" s="42" t="s">
        <v>182</v>
      </c>
    </row>
    <row r="33" spans="1:19" s="40" customFormat="1" x14ac:dyDescent="0.25">
      <c r="A33" s="40" t="s">
        <v>183</v>
      </c>
      <c r="B33" s="41" t="s">
        <v>184</v>
      </c>
      <c r="C33" s="42" t="s">
        <v>36</v>
      </c>
      <c r="D33" s="42" t="s">
        <v>66</v>
      </c>
      <c r="E33" s="48">
        <v>38</v>
      </c>
      <c r="F33" s="48">
        <v>38</v>
      </c>
      <c r="G33" s="44" t="s">
        <v>73</v>
      </c>
      <c r="H33" s="49">
        <v>0</v>
      </c>
      <c r="I33" s="42" t="s">
        <v>34</v>
      </c>
      <c r="J33" s="42" t="s">
        <v>258</v>
      </c>
      <c r="K33" s="42" t="s">
        <v>190</v>
      </c>
      <c r="L33" s="42" t="s">
        <v>104</v>
      </c>
      <c r="M33" s="42" t="s">
        <v>30</v>
      </c>
      <c r="N33" s="42" t="s">
        <v>75</v>
      </c>
      <c r="O33" s="46">
        <v>4.5</v>
      </c>
      <c r="P33" s="47">
        <v>278</v>
      </c>
      <c r="Q33" s="44" t="s">
        <v>21</v>
      </c>
      <c r="R33" s="47">
        <v>19</v>
      </c>
      <c r="S33" s="42" t="s">
        <v>185</v>
      </c>
    </row>
    <row r="34" spans="1:19" s="40" customFormat="1" x14ac:dyDescent="0.25">
      <c r="A34" s="40" t="s">
        <v>186</v>
      </c>
      <c r="B34" s="41" t="s">
        <v>187</v>
      </c>
      <c r="C34" s="42" t="s">
        <v>110</v>
      </c>
      <c r="D34" s="42" t="s">
        <v>188</v>
      </c>
      <c r="E34" s="48">
        <v>498</v>
      </c>
      <c r="F34" s="48">
        <v>498</v>
      </c>
      <c r="G34" s="44" t="s">
        <v>73</v>
      </c>
      <c r="H34" s="49">
        <v>0</v>
      </c>
      <c r="I34" s="42" t="s">
        <v>189</v>
      </c>
      <c r="J34" s="42" t="s">
        <v>253</v>
      </c>
      <c r="K34" s="42" t="s">
        <v>61</v>
      </c>
      <c r="L34" s="42" t="s">
        <v>105</v>
      </c>
      <c r="M34" s="42" t="s">
        <v>30</v>
      </c>
      <c r="N34" s="42" t="s">
        <v>261</v>
      </c>
      <c r="O34" s="46">
        <v>3.9</v>
      </c>
      <c r="P34" s="47">
        <v>27</v>
      </c>
      <c r="Q34" s="44" t="s">
        <v>21</v>
      </c>
      <c r="R34" s="47">
        <v>8</v>
      </c>
      <c r="S34" s="42" t="s">
        <v>191</v>
      </c>
    </row>
    <row r="35" spans="1:19" s="40" customFormat="1" x14ac:dyDescent="0.25">
      <c r="A35" s="40" t="s">
        <v>192</v>
      </c>
      <c r="B35" s="41" t="s">
        <v>194</v>
      </c>
      <c r="C35" s="42" t="s">
        <v>98</v>
      </c>
      <c r="D35" s="42" t="s">
        <v>16</v>
      </c>
      <c r="E35" s="48">
        <v>78</v>
      </c>
      <c r="F35" s="48">
        <v>78</v>
      </c>
      <c r="G35" s="44" t="s">
        <v>73</v>
      </c>
      <c r="H35" s="49">
        <v>0</v>
      </c>
      <c r="I35" s="42" t="s">
        <v>95</v>
      </c>
      <c r="J35" s="42" t="s">
        <v>258</v>
      </c>
      <c r="K35" s="42" t="s">
        <v>96</v>
      </c>
      <c r="L35" s="42" t="s">
        <v>105</v>
      </c>
      <c r="M35" s="42" t="s">
        <v>30</v>
      </c>
      <c r="N35" s="42" t="s">
        <v>75</v>
      </c>
      <c r="O35" s="46">
        <v>4.4000000000000004</v>
      </c>
      <c r="P35" s="47">
        <v>142</v>
      </c>
      <c r="Q35" s="44" t="s">
        <v>21</v>
      </c>
      <c r="R35" s="47">
        <v>12</v>
      </c>
      <c r="S35" s="42" t="s">
        <v>121</v>
      </c>
    </row>
    <row r="36" spans="1:19" s="8" customFormat="1" x14ac:dyDescent="0.25">
      <c r="A36" s="8" t="s">
        <v>437</v>
      </c>
      <c r="B36" s="28">
        <v>58381005</v>
      </c>
      <c r="C36" s="10" t="s">
        <v>36</v>
      </c>
      <c r="D36" s="10" t="s">
        <v>72</v>
      </c>
      <c r="E36" s="16">
        <v>40</v>
      </c>
      <c r="F36" s="16">
        <v>40</v>
      </c>
      <c r="G36" s="12" t="s">
        <v>73</v>
      </c>
      <c r="H36" s="17">
        <v>0</v>
      </c>
      <c r="I36" s="10" t="s">
        <v>100</v>
      </c>
      <c r="J36" s="10" t="s">
        <v>428</v>
      </c>
      <c r="K36" s="10" t="s">
        <v>438</v>
      </c>
      <c r="L36" s="10" t="s">
        <v>106</v>
      </c>
      <c r="M36" s="10" t="s">
        <v>202</v>
      </c>
      <c r="N36" s="10" t="s">
        <v>72</v>
      </c>
      <c r="O36" s="14">
        <v>4.4000000000000004</v>
      </c>
      <c r="P36" s="15">
        <v>727</v>
      </c>
      <c r="Q36" s="12" t="s">
        <v>22</v>
      </c>
      <c r="R36" s="15">
        <v>13</v>
      </c>
      <c r="S36" s="10" t="s">
        <v>449</v>
      </c>
    </row>
    <row r="37" spans="1:19" s="40" customFormat="1" x14ac:dyDescent="0.25">
      <c r="A37" s="27" t="s">
        <v>196</v>
      </c>
      <c r="B37" s="41" t="s">
        <v>197</v>
      </c>
      <c r="C37" s="42" t="s">
        <v>78</v>
      </c>
      <c r="D37" s="42" t="s">
        <v>31</v>
      </c>
      <c r="E37" s="48">
        <v>148</v>
      </c>
      <c r="F37" s="48">
        <v>148</v>
      </c>
      <c r="G37" s="44" t="s">
        <v>73</v>
      </c>
      <c r="H37" s="49">
        <v>0</v>
      </c>
      <c r="I37" s="42" t="s">
        <v>198</v>
      </c>
      <c r="J37" s="42" t="s">
        <v>253</v>
      </c>
      <c r="K37" s="42" t="s">
        <v>61</v>
      </c>
      <c r="L37" s="42" t="s">
        <v>105</v>
      </c>
      <c r="M37" s="42" t="s">
        <v>30</v>
      </c>
      <c r="N37" s="42" t="s">
        <v>75</v>
      </c>
      <c r="O37" s="46">
        <v>3.5</v>
      </c>
      <c r="P37" s="47">
        <v>8</v>
      </c>
      <c r="Q37" s="44" t="s">
        <v>21</v>
      </c>
      <c r="R37" s="47">
        <v>1</v>
      </c>
      <c r="S37" s="42" t="s">
        <v>195</v>
      </c>
    </row>
    <row r="38" spans="1:19" s="40" customFormat="1" x14ac:dyDescent="0.25">
      <c r="A38" s="40" t="s">
        <v>199</v>
      </c>
      <c r="B38" s="28">
        <v>101374734</v>
      </c>
      <c r="C38" s="42" t="s">
        <v>78</v>
      </c>
      <c r="D38" s="42" t="s">
        <v>84</v>
      </c>
      <c r="E38" s="48">
        <v>28</v>
      </c>
      <c r="F38" s="48">
        <v>28</v>
      </c>
      <c r="G38" s="44" t="s">
        <v>73</v>
      </c>
      <c r="H38" s="49">
        <v>0</v>
      </c>
      <c r="I38" s="42" t="s">
        <v>200</v>
      </c>
      <c r="J38" s="42" t="s">
        <v>201</v>
      </c>
      <c r="K38" s="42" t="s">
        <v>87</v>
      </c>
      <c r="L38" s="42" t="s">
        <v>105</v>
      </c>
      <c r="M38" s="42" t="s">
        <v>202</v>
      </c>
      <c r="N38" s="42" t="s">
        <v>203</v>
      </c>
      <c r="O38" s="46">
        <v>4</v>
      </c>
      <c r="P38" s="47">
        <v>49</v>
      </c>
      <c r="Q38" s="44" t="s">
        <v>21</v>
      </c>
      <c r="R38" s="47">
        <v>11</v>
      </c>
      <c r="S38" s="42" t="s">
        <v>88</v>
      </c>
    </row>
    <row r="39" spans="1:19" s="40" customFormat="1" x14ac:dyDescent="0.25">
      <c r="A39" s="40" t="s">
        <v>204</v>
      </c>
      <c r="B39" s="41" t="s">
        <v>205</v>
      </c>
      <c r="C39" s="42" t="s">
        <v>25</v>
      </c>
      <c r="D39" s="42" t="s">
        <v>206</v>
      </c>
      <c r="E39" s="48">
        <v>78</v>
      </c>
      <c r="F39" s="48">
        <v>78</v>
      </c>
      <c r="G39" s="44" t="s">
        <v>73</v>
      </c>
      <c r="H39" s="49">
        <v>0</v>
      </c>
      <c r="I39" s="42" t="s">
        <v>207</v>
      </c>
      <c r="J39" s="42" t="s">
        <v>254</v>
      </c>
      <c r="K39" s="42" t="s">
        <v>96</v>
      </c>
      <c r="L39" s="42" t="s">
        <v>105</v>
      </c>
      <c r="M39" s="42" t="s">
        <v>30</v>
      </c>
      <c r="N39" s="42" t="s">
        <v>75</v>
      </c>
      <c r="O39" s="46">
        <v>4.0999999999999996</v>
      </c>
      <c r="P39" s="47">
        <v>85</v>
      </c>
      <c r="Q39" s="44" t="s">
        <v>22</v>
      </c>
      <c r="R39" s="47">
        <v>6</v>
      </c>
      <c r="S39" s="42" t="s">
        <v>208</v>
      </c>
    </row>
    <row r="40" spans="1:19" s="40" customFormat="1" x14ac:dyDescent="0.25">
      <c r="A40" s="40" t="s">
        <v>209</v>
      </c>
      <c r="B40" s="41" t="s">
        <v>210</v>
      </c>
      <c r="C40" s="42" t="s">
        <v>110</v>
      </c>
      <c r="D40" s="42" t="s">
        <v>211</v>
      </c>
      <c r="E40" s="48">
        <v>200</v>
      </c>
      <c r="F40" s="48">
        <v>200</v>
      </c>
      <c r="G40" s="44" t="s">
        <v>73</v>
      </c>
      <c r="H40" s="49">
        <v>0</v>
      </c>
      <c r="I40" s="42" t="s">
        <v>212</v>
      </c>
      <c r="J40" s="42" t="s">
        <v>253</v>
      </c>
      <c r="K40" s="42" t="s">
        <v>113</v>
      </c>
      <c r="L40" s="42" t="s">
        <v>104</v>
      </c>
      <c r="M40" s="42" t="s">
        <v>30</v>
      </c>
      <c r="N40" s="42" t="s">
        <v>75</v>
      </c>
      <c r="O40" s="46">
        <v>4.9000000000000004</v>
      </c>
      <c r="P40" s="47">
        <v>19</v>
      </c>
      <c r="Q40" s="44" t="s">
        <v>21</v>
      </c>
      <c r="R40" s="47">
        <v>5</v>
      </c>
      <c r="S40" s="42" t="s">
        <v>349</v>
      </c>
    </row>
    <row r="41" spans="1:19" s="40" customFormat="1" x14ac:dyDescent="0.25">
      <c r="A41" s="40" t="s">
        <v>213</v>
      </c>
      <c r="B41" s="41" t="s">
        <v>214</v>
      </c>
      <c r="C41" s="42" t="s">
        <v>78</v>
      </c>
      <c r="D41" s="42" t="s">
        <v>31</v>
      </c>
      <c r="E41" s="48">
        <v>198</v>
      </c>
      <c r="F41" s="48">
        <v>198</v>
      </c>
      <c r="G41" s="44" t="s">
        <v>73</v>
      </c>
      <c r="H41" s="49">
        <v>0</v>
      </c>
      <c r="I41" s="42" t="s">
        <v>32</v>
      </c>
      <c r="J41" s="42" t="s">
        <v>253</v>
      </c>
      <c r="K41" s="42" t="s">
        <v>61</v>
      </c>
      <c r="L41" s="42" t="s">
        <v>105</v>
      </c>
      <c r="M41" s="42" t="s">
        <v>30</v>
      </c>
      <c r="N41" s="42" t="s">
        <v>261</v>
      </c>
      <c r="O41" s="46">
        <v>4</v>
      </c>
      <c r="P41" s="47">
        <v>7</v>
      </c>
      <c r="Q41" s="44" t="s">
        <v>21</v>
      </c>
      <c r="R41" s="47">
        <v>3</v>
      </c>
      <c r="S41" s="42" t="s">
        <v>215</v>
      </c>
    </row>
    <row r="42" spans="1:19" s="40" customFormat="1" x14ac:dyDescent="0.25">
      <c r="A42" s="40" t="s">
        <v>216</v>
      </c>
      <c r="B42" s="41" t="s">
        <v>217</v>
      </c>
      <c r="C42" s="42" t="s">
        <v>118</v>
      </c>
      <c r="D42" s="42" t="s">
        <v>218</v>
      </c>
      <c r="E42" s="48">
        <v>168</v>
      </c>
      <c r="F42" s="48">
        <v>168</v>
      </c>
      <c r="G42" s="44" t="s">
        <v>73</v>
      </c>
      <c r="H42" s="49">
        <v>0</v>
      </c>
      <c r="I42" s="42" t="s">
        <v>219</v>
      </c>
      <c r="J42" s="42" t="s">
        <v>253</v>
      </c>
      <c r="K42" s="42" t="s">
        <v>342</v>
      </c>
      <c r="L42" s="42" t="s">
        <v>106</v>
      </c>
      <c r="M42" s="42" t="s">
        <v>220</v>
      </c>
      <c r="N42" s="42" t="s">
        <v>348</v>
      </c>
      <c r="O42" s="46">
        <v>4.4000000000000004</v>
      </c>
      <c r="P42" s="47">
        <v>78</v>
      </c>
      <c r="Q42" s="44" t="s">
        <v>21</v>
      </c>
      <c r="R42" s="47">
        <v>3</v>
      </c>
      <c r="S42" s="42" t="s">
        <v>229</v>
      </c>
    </row>
    <row r="43" spans="1:19" s="40" customFormat="1" x14ac:dyDescent="0.25">
      <c r="A43" s="40" t="s">
        <v>221</v>
      </c>
      <c r="B43" s="41" t="s">
        <v>222</v>
      </c>
      <c r="C43" s="42" t="s">
        <v>78</v>
      </c>
      <c r="D43" s="42" t="s">
        <v>223</v>
      </c>
      <c r="E43" s="48">
        <v>18</v>
      </c>
      <c r="F43" s="48">
        <v>18</v>
      </c>
      <c r="G43" s="44" t="s">
        <v>73</v>
      </c>
      <c r="H43" s="49">
        <v>0</v>
      </c>
      <c r="I43" s="42" t="s">
        <v>224</v>
      </c>
      <c r="J43" s="42" t="s">
        <v>253</v>
      </c>
      <c r="K43" s="42" t="s">
        <v>343</v>
      </c>
      <c r="L43" s="42" t="s">
        <v>106</v>
      </c>
      <c r="M43" s="42" t="s">
        <v>30</v>
      </c>
      <c r="N43" s="42" t="s">
        <v>226</v>
      </c>
      <c r="O43" s="46">
        <v>4.4000000000000004</v>
      </c>
      <c r="P43" s="47">
        <v>7</v>
      </c>
      <c r="Q43" s="44" t="s">
        <v>21</v>
      </c>
      <c r="R43" s="47">
        <v>5</v>
      </c>
      <c r="S43" s="42" t="s">
        <v>225</v>
      </c>
    </row>
    <row r="44" spans="1:19" s="40" customFormat="1" x14ac:dyDescent="0.25">
      <c r="A44" s="40" t="s">
        <v>227</v>
      </c>
      <c r="B44" s="41" t="s">
        <v>337</v>
      </c>
      <c r="C44" s="42" t="s">
        <v>78</v>
      </c>
      <c r="D44" s="42" t="s">
        <v>84</v>
      </c>
      <c r="E44" s="48">
        <v>98</v>
      </c>
      <c r="F44" s="48">
        <v>98</v>
      </c>
      <c r="G44" s="44" t="s">
        <v>73</v>
      </c>
      <c r="H44" s="49">
        <v>0</v>
      </c>
      <c r="I44" s="42" t="s">
        <v>228</v>
      </c>
      <c r="J44" s="42" t="s">
        <v>253</v>
      </c>
      <c r="K44" s="42" t="s">
        <v>61</v>
      </c>
      <c r="L44" s="42" t="s">
        <v>105</v>
      </c>
      <c r="M44" s="42" t="s">
        <v>220</v>
      </c>
      <c r="N44" s="42" t="s">
        <v>348</v>
      </c>
      <c r="O44" s="46">
        <v>4.5999999999999996</v>
      </c>
      <c r="P44" s="47">
        <v>29</v>
      </c>
      <c r="Q44" s="44" t="s">
        <v>21</v>
      </c>
      <c r="R44" s="47">
        <v>5</v>
      </c>
      <c r="S44" s="42" t="s">
        <v>33</v>
      </c>
    </row>
    <row r="45" spans="1:19" s="40" customFormat="1" x14ac:dyDescent="0.25">
      <c r="A45" s="40" t="s">
        <v>356</v>
      </c>
      <c r="B45" s="41" t="s">
        <v>357</v>
      </c>
      <c r="C45" s="42" t="s">
        <v>25</v>
      </c>
      <c r="D45" s="42" t="s">
        <v>358</v>
      </c>
      <c r="E45" s="48">
        <v>98</v>
      </c>
      <c r="F45" s="48">
        <v>98</v>
      </c>
      <c r="G45" s="44" t="s">
        <v>73</v>
      </c>
      <c r="H45" s="49">
        <v>0</v>
      </c>
      <c r="I45" s="42" t="s">
        <v>224</v>
      </c>
      <c r="J45" s="42" t="s">
        <v>253</v>
      </c>
      <c r="K45" s="42" t="s">
        <v>359</v>
      </c>
      <c r="L45" s="42" t="s">
        <v>104</v>
      </c>
      <c r="M45" s="42" t="s">
        <v>30</v>
      </c>
      <c r="N45" s="42" t="s">
        <v>75</v>
      </c>
      <c r="O45" s="46">
        <v>4.8</v>
      </c>
      <c r="P45" s="47">
        <v>53</v>
      </c>
      <c r="Q45" s="44" t="s">
        <v>22</v>
      </c>
      <c r="R45" s="47">
        <v>5</v>
      </c>
      <c r="S45" s="42" t="s">
        <v>360</v>
      </c>
    </row>
    <row r="46" spans="1:19" s="40" customFormat="1" x14ac:dyDescent="0.25">
      <c r="A46" s="40" t="s">
        <v>230</v>
      </c>
      <c r="B46" s="41" t="s">
        <v>231</v>
      </c>
      <c r="C46" s="42" t="s">
        <v>118</v>
      </c>
      <c r="D46" s="42" t="s">
        <v>232</v>
      </c>
      <c r="E46" s="48">
        <v>198</v>
      </c>
      <c r="F46" s="48">
        <v>198</v>
      </c>
      <c r="G46" s="44" t="s">
        <v>73</v>
      </c>
      <c r="H46" s="49">
        <v>0</v>
      </c>
      <c r="I46" s="42" t="s">
        <v>233</v>
      </c>
      <c r="J46" s="42" t="s">
        <v>253</v>
      </c>
      <c r="K46" s="42" t="s">
        <v>130</v>
      </c>
      <c r="L46" s="42" t="s">
        <v>104</v>
      </c>
      <c r="M46" s="42" t="s">
        <v>234</v>
      </c>
      <c r="N46" s="42" t="s">
        <v>203</v>
      </c>
      <c r="O46" s="46">
        <v>4.5</v>
      </c>
      <c r="P46" s="47">
        <v>56</v>
      </c>
      <c r="Q46" s="44" t="s">
        <v>22</v>
      </c>
      <c r="R46" s="47">
        <v>6</v>
      </c>
      <c r="S46" s="42" t="s">
        <v>235</v>
      </c>
    </row>
    <row r="47" spans="1:19" s="40" customFormat="1" x14ac:dyDescent="0.25">
      <c r="A47" s="40" t="s">
        <v>350</v>
      </c>
      <c r="B47" s="41" t="s">
        <v>351</v>
      </c>
      <c r="C47" s="42" t="s">
        <v>110</v>
      </c>
      <c r="D47" s="42" t="s">
        <v>264</v>
      </c>
      <c r="E47" s="48">
        <v>180</v>
      </c>
      <c r="F47" s="48">
        <v>180</v>
      </c>
      <c r="G47" s="44" t="s">
        <v>73</v>
      </c>
      <c r="H47" s="49">
        <v>0</v>
      </c>
      <c r="I47" s="42" t="s">
        <v>352</v>
      </c>
      <c r="J47" s="42" t="s">
        <v>255</v>
      </c>
      <c r="K47" s="42" t="s">
        <v>353</v>
      </c>
      <c r="L47" s="42" t="s">
        <v>104</v>
      </c>
      <c r="M47" s="42" t="s">
        <v>354</v>
      </c>
      <c r="N47" s="42" t="s">
        <v>75</v>
      </c>
      <c r="O47" s="46">
        <v>3.3</v>
      </c>
      <c r="P47" s="47">
        <v>35</v>
      </c>
      <c r="Q47" s="44" t="s">
        <v>21</v>
      </c>
      <c r="R47" s="47">
        <v>7</v>
      </c>
      <c r="S47" s="42" t="s">
        <v>355</v>
      </c>
    </row>
    <row r="48" spans="1:19" s="40" customFormat="1" x14ac:dyDescent="0.25">
      <c r="A48" s="40" t="s">
        <v>236</v>
      </c>
      <c r="B48" s="41" t="s">
        <v>237</v>
      </c>
      <c r="C48" s="42" t="s">
        <v>78</v>
      </c>
      <c r="D48" s="42" t="s">
        <v>180</v>
      </c>
      <c r="E48" s="48">
        <v>48</v>
      </c>
      <c r="F48" s="48">
        <v>48</v>
      </c>
      <c r="G48" s="44" t="s">
        <v>73</v>
      </c>
      <c r="H48" s="49">
        <v>0</v>
      </c>
      <c r="I48" s="42" t="s">
        <v>238</v>
      </c>
      <c r="J48" s="42" t="s">
        <v>256</v>
      </c>
      <c r="K48" s="42" t="s">
        <v>61</v>
      </c>
      <c r="L48" s="42" t="s">
        <v>105</v>
      </c>
      <c r="M48" s="42" t="s">
        <v>92</v>
      </c>
      <c r="N48" s="42" t="s">
        <v>261</v>
      </c>
      <c r="O48" s="46">
        <v>4.2</v>
      </c>
      <c r="P48" s="47">
        <v>38</v>
      </c>
      <c r="Q48" s="44" t="s">
        <v>22</v>
      </c>
      <c r="R48" s="47">
        <v>11</v>
      </c>
      <c r="S48" s="42" t="s">
        <v>239</v>
      </c>
    </row>
    <row r="49" spans="1:19" s="40" customFormat="1" x14ac:dyDescent="0.25">
      <c r="A49" s="40" t="s">
        <v>240</v>
      </c>
      <c r="B49" s="41" t="s">
        <v>338</v>
      </c>
      <c r="C49" s="42" t="s">
        <v>25</v>
      </c>
      <c r="D49" s="42" t="s">
        <v>414</v>
      </c>
      <c r="E49" s="48">
        <v>128</v>
      </c>
      <c r="F49" s="48">
        <v>128</v>
      </c>
      <c r="G49" s="44" t="s">
        <v>73</v>
      </c>
      <c r="H49" s="49">
        <v>0</v>
      </c>
      <c r="I49" s="42" t="s">
        <v>241</v>
      </c>
      <c r="J49" s="42" t="s">
        <v>267</v>
      </c>
      <c r="K49" s="42" t="s">
        <v>96</v>
      </c>
      <c r="L49" s="42" t="s">
        <v>105</v>
      </c>
      <c r="M49" s="42" t="s">
        <v>30</v>
      </c>
      <c r="N49" s="42" t="s">
        <v>75</v>
      </c>
      <c r="O49" s="46">
        <v>4.5999999999999996</v>
      </c>
      <c r="P49" s="47">
        <v>54</v>
      </c>
      <c r="Q49" s="44" t="s">
        <v>22</v>
      </c>
      <c r="R49" s="47">
        <v>4</v>
      </c>
      <c r="S49" s="42" t="s">
        <v>242</v>
      </c>
    </row>
    <row r="50" spans="1:19" s="40" customFormat="1" x14ac:dyDescent="0.25">
      <c r="A50" s="40" t="s">
        <v>243</v>
      </c>
      <c r="B50" s="41" t="s">
        <v>244</v>
      </c>
      <c r="C50" s="42" t="s">
        <v>36</v>
      </c>
      <c r="D50" s="42" t="s">
        <v>66</v>
      </c>
      <c r="E50" s="48">
        <v>38</v>
      </c>
      <c r="F50" s="48">
        <v>38</v>
      </c>
      <c r="G50" s="44" t="s">
        <v>73</v>
      </c>
      <c r="H50" s="49">
        <v>0</v>
      </c>
      <c r="I50" s="42" t="s">
        <v>245</v>
      </c>
      <c r="J50" s="42" t="s">
        <v>245</v>
      </c>
      <c r="K50" s="42" t="s">
        <v>96</v>
      </c>
      <c r="L50" s="42" t="s">
        <v>105</v>
      </c>
      <c r="M50" s="42" t="s">
        <v>30</v>
      </c>
      <c r="N50" s="42" t="s">
        <v>75</v>
      </c>
      <c r="O50" s="46">
        <v>4.4000000000000004</v>
      </c>
      <c r="P50" s="47">
        <v>193</v>
      </c>
      <c r="Q50" s="44" t="s">
        <v>21</v>
      </c>
      <c r="R50" s="47">
        <v>13</v>
      </c>
      <c r="S50" s="42" t="s">
        <v>208</v>
      </c>
    </row>
    <row r="51" spans="1:19" s="40" customFormat="1" x14ac:dyDescent="0.25">
      <c r="A51" s="40" t="s">
        <v>246</v>
      </c>
      <c r="B51" s="41" t="s">
        <v>247</v>
      </c>
      <c r="C51" s="42" t="s">
        <v>98</v>
      </c>
      <c r="D51" s="42" t="s">
        <v>16</v>
      </c>
      <c r="E51" s="48">
        <v>78</v>
      </c>
      <c r="F51" s="48">
        <v>78</v>
      </c>
      <c r="G51" s="44" t="s">
        <v>73</v>
      </c>
      <c r="H51" s="49">
        <v>0</v>
      </c>
      <c r="I51" s="42" t="s">
        <v>249</v>
      </c>
      <c r="J51" s="42" t="s">
        <v>253</v>
      </c>
      <c r="K51" s="42" t="s">
        <v>130</v>
      </c>
      <c r="L51" s="42" t="s">
        <v>104</v>
      </c>
      <c r="M51" s="42" t="s">
        <v>30</v>
      </c>
      <c r="N51" s="42" t="s">
        <v>75</v>
      </c>
      <c r="O51" s="46">
        <v>4.3</v>
      </c>
      <c r="P51" s="47">
        <v>1317</v>
      </c>
      <c r="Q51" s="44" t="s">
        <v>21</v>
      </c>
      <c r="R51" s="47">
        <v>16</v>
      </c>
      <c r="S51" s="42" t="s">
        <v>248</v>
      </c>
    </row>
    <row r="52" spans="1:19" s="40" customFormat="1" x14ac:dyDescent="0.25">
      <c r="A52" s="40" t="s">
        <v>250</v>
      </c>
      <c r="B52" s="41" t="s">
        <v>339</v>
      </c>
      <c r="C52" s="42" t="s">
        <v>25</v>
      </c>
      <c r="D52" s="42" t="s">
        <v>414</v>
      </c>
      <c r="E52" s="48">
        <v>168</v>
      </c>
      <c r="F52" s="48">
        <v>168</v>
      </c>
      <c r="G52" s="44" t="s">
        <v>73</v>
      </c>
      <c r="H52" s="49">
        <v>0</v>
      </c>
      <c r="I52" s="42" t="s">
        <v>251</v>
      </c>
      <c r="J52" s="42" t="s">
        <v>255</v>
      </c>
      <c r="K52" s="42" t="s">
        <v>96</v>
      </c>
      <c r="L52" s="42" t="s">
        <v>105</v>
      </c>
      <c r="M52" s="42" t="s">
        <v>30</v>
      </c>
      <c r="N52" s="42" t="s">
        <v>75</v>
      </c>
      <c r="O52" s="46">
        <v>3.6</v>
      </c>
      <c r="P52" s="47">
        <v>32</v>
      </c>
      <c r="Q52" s="44" t="s">
        <v>22</v>
      </c>
      <c r="R52" s="47">
        <v>7</v>
      </c>
      <c r="S52" s="42" t="s">
        <v>252</v>
      </c>
    </row>
    <row r="53" spans="1:19" s="40" customFormat="1" x14ac:dyDescent="0.25">
      <c r="A53" s="40" t="s">
        <v>262</v>
      </c>
      <c r="B53" s="41" t="s">
        <v>263</v>
      </c>
      <c r="C53" s="42" t="s">
        <v>110</v>
      </c>
      <c r="D53" s="42" t="s">
        <v>264</v>
      </c>
      <c r="E53" s="48">
        <v>160</v>
      </c>
      <c r="F53" s="48">
        <v>160</v>
      </c>
      <c r="G53" s="44" t="s">
        <v>73</v>
      </c>
      <c r="H53" s="49">
        <v>0</v>
      </c>
      <c r="I53" s="42" t="s">
        <v>265</v>
      </c>
      <c r="J53" s="42" t="s">
        <v>268</v>
      </c>
      <c r="K53" s="42" t="s">
        <v>266</v>
      </c>
      <c r="L53" s="42" t="s">
        <v>104</v>
      </c>
      <c r="M53" s="42" t="s">
        <v>30</v>
      </c>
      <c r="N53" s="42" t="s">
        <v>75</v>
      </c>
      <c r="O53" s="46">
        <v>4</v>
      </c>
      <c r="P53" s="47">
        <v>83</v>
      </c>
      <c r="Q53" s="44" t="s">
        <v>21</v>
      </c>
      <c r="R53" s="47">
        <v>9</v>
      </c>
      <c r="S53" s="42" t="s">
        <v>416</v>
      </c>
    </row>
    <row r="54" spans="1:19" s="40" customFormat="1" x14ac:dyDescent="0.25">
      <c r="A54" s="40" t="s">
        <v>269</v>
      </c>
      <c r="B54" s="41" t="s">
        <v>270</v>
      </c>
      <c r="C54" s="42" t="s">
        <v>25</v>
      </c>
      <c r="D54" s="42" t="s">
        <v>52</v>
      </c>
      <c r="E54" s="48">
        <v>128</v>
      </c>
      <c r="F54" s="48">
        <v>128</v>
      </c>
      <c r="G54" s="44" t="s">
        <v>73</v>
      </c>
      <c r="H54" s="49">
        <v>0</v>
      </c>
      <c r="I54" s="42" t="s">
        <v>271</v>
      </c>
      <c r="J54" s="42" t="s">
        <v>254</v>
      </c>
      <c r="K54" s="42" t="s">
        <v>344</v>
      </c>
      <c r="L54" s="42" t="s">
        <v>104</v>
      </c>
      <c r="M54" s="42" t="s">
        <v>272</v>
      </c>
      <c r="N54" s="42" t="s">
        <v>75</v>
      </c>
      <c r="O54" s="46">
        <v>4.3</v>
      </c>
      <c r="P54" s="47">
        <v>1595</v>
      </c>
      <c r="Q54" s="44" t="s">
        <v>21</v>
      </c>
      <c r="R54" s="47">
        <v>18</v>
      </c>
      <c r="S54" s="42" t="s">
        <v>273</v>
      </c>
    </row>
    <row r="55" spans="1:19" s="40" customFormat="1" x14ac:dyDescent="0.25">
      <c r="A55" s="40" t="s">
        <v>274</v>
      </c>
      <c r="B55" s="41" t="s">
        <v>275</v>
      </c>
      <c r="C55" s="42" t="s">
        <v>25</v>
      </c>
      <c r="D55" s="42" t="s">
        <v>52</v>
      </c>
      <c r="E55" s="48">
        <v>148</v>
      </c>
      <c r="F55" s="48">
        <v>148</v>
      </c>
      <c r="G55" s="44" t="s">
        <v>73</v>
      </c>
      <c r="H55" s="49">
        <v>0</v>
      </c>
      <c r="I55" s="42" t="s">
        <v>276</v>
      </c>
      <c r="J55" s="42" t="s">
        <v>254</v>
      </c>
      <c r="K55" s="42" t="s">
        <v>96</v>
      </c>
      <c r="L55" s="42" t="s">
        <v>105</v>
      </c>
      <c r="M55" s="42" t="s">
        <v>30</v>
      </c>
      <c r="N55" s="42" t="s">
        <v>75</v>
      </c>
      <c r="O55" s="46">
        <v>4.7</v>
      </c>
      <c r="P55" s="47">
        <v>61</v>
      </c>
      <c r="Q55" s="44" t="s">
        <v>21</v>
      </c>
      <c r="R55" s="47">
        <v>4</v>
      </c>
      <c r="S55" s="42" t="s">
        <v>208</v>
      </c>
    </row>
    <row r="56" spans="1:19" s="40" customFormat="1" x14ac:dyDescent="0.25">
      <c r="A56" s="40" t="s">
        <v>277</v>
      </c>
      <c r="B56" s="41" t="s">
        <v>278</v>
      </c>
      <c r="C56" s="42" t="s">
        <v>315</v>
      </c>
      <c r="D56" s="42" t="s">
        <v>279</v>
      </c>
      <c r="E56" s="48">
        <v>98</v>
      </c>
      <c r="F56" s="48">
        <v>98</v>
      </c>
      <c r="G56" s="44" t="s">
        <v>73</v>
      </c>
      <c r="H56" s="49">
        <v>0</v>
      </c>
      <c r="I56" s="42" t="s">
        <v>280</v>
      </c>
      <c r="J56" s="42" t="s">
        <v>254</v>
      </c>
      <c r="K56" s="42" t="s">
        <v>96</v>
      </c>
      <c r="L56" s="42" t="s">
        <v>105</v>
      </c>
      <c r="M56" s="42" t="s">
        <v>30</v>
      </c>
      <c r="N56" s="42" t="s">
        <v>75</v>
      </c>
      <c r="O56" s="46">
        <v>4.5</v>
      </c>
      <c r="P56" s="47">
        <v>97</v>
      </c>
      <c r="Q56" s="44" t="s">
        <v>21</v>
      </c>
      <c r="R56" s="47">
        <v>8</v>
      </c>
      <c r="S56" s="42" t="s">
        <v>208</v>
      </c>
    </row>
    <row r="57" spans="1:19" s="40" customFormat="1" x14ac:dyDescent="0.25">
      <c r="A57" s="40" t="s">
        <v>281</v>
      </c>
      <c r="B57" s="41" t="s">
        <v>282</v>
      </c>
      <c r="C57" s="42" t="s">
        <v>25</v>
      </c>
      <c r="D57" s="42" t="s">
        <v>283</v>
      </c>
      <c r="E57" s="48">
        <v>78</v>
      </c>
      <c r="F57" s="48">
        <v>78</v>
      </c>
      <c r="G57" s="44" t="s">
        <v>73</v>
      </c>
      <c r="H57" s="49">
        <v>0</v>
      </c>
      <c r="I57" s="42" t="s">
        <v>284</v>
      </c>
      <c r="J57" s="42" t="s">
        <v>253</v>
      </c>
      <c r="K57" s="42" t="s">
        <v>345</v>
      </c>
      <c r="L57" s="42" t="s">
        <v>105</v>
      </c>
      <c r="M57" s="42" t="s">
        <v>30</v>
      </c>
      <c r="N57" s="42" t="s">
        <v>75</v>
      </c>
      <c r="O57" s="46">
        <v>4.5999999999999996</v>
      </c>
      <c r="P57" s="47">
        <v>68</v>
      </c>
      <c r="Q57" s="44" t="s">
        <v>21</v>
      </c>
      <c r="R57" s="47">
        <v>9</v>
      </c>
      <c r="S57" s="42" t="s">
        <v>285</v>
      </c>
    </row>
    <row r="58" spans="1:19" s="40" customFormat="1" x14ac:dyDescent="0.25">
      <c r="A58" s="40" t="s">
        <v>286</v>
      </c>
      <c r="B58" s="41" t="s">
        <v>287</v>
      </c>
      <c r="C58" s="42" t="s">
        <v>25</v>
      </c>
      <c r="D58" s="42" t="s">
        <v>288</v>
      </c>
      <c r="E58" s="48">
        <v>98</v>
      </c>
      <c r="F58" s="48">
        <v>98</v>
      </c>
      <c r="G58" s="44" t="s">
        <v>73</v>
      </c>
      <c r="H58" s="49">
        <v>0</v>
      </c>
      <c r="I58" s="42" t="s">
        <v>289</v>
      </c>
      <c r="J58" s="42" t="s">
        <v>290</v>
      </c>
      <c r="K58" s="42" t="s">
        <v>96</v>
      </c>
      <c r="L58" s="42" t="s">
        <v>105</v>
      </c>
      <c r="M58" s="42" t="s">
        <v>325</v>
      </c>
      <c r="N58" s="42" t="s">
        <v>75</v>
      </c>
      <c r="O58" s="46">
        <v>4.3</v>
      </c>
      <c r="P58" s="47">
        <v>98</v>
      </c>
      <c r="Q58" s="44" t="s">
        <v>22</v>
      </c>
      <c r="R58" s="47">
        <v>4</v>
      </c>
      <c r="S58" s="42" t="s">
        <v>291</v>
      </c>
    </row>
    <row r="59" spans="1:19" s="40" customFormat="1" x14ac:dyDescent="0.25">
      <c r="A59" s="40" t="s">
        <v>292</v>
      </c>
      <c r="B59" s="41" t="s">
        <v>293</v>
      </c>
      <c r="C59" s="42" t="s">
        <v>25</v>
      </c>
      <c r="D59" s="42" t="s">
        <v>414</v>
      </c>
      <c r="E59" s="48">
        <v>148</v>
      </c>
      <c r="F59" s="48">
        <v>148</v>
      </c>
      <c r="G59" s="44" t="s">
        <v>73</v>
      </c>
      <c r="H59" s="49">
        <v>0</v>
      </c>
      <c r="I59" s="42" t="s">
        <v>294</v>
      </c>
      <c r="J59" s="42" t="s">
        <v>268</v>
      </c>
      <c r="K59" s="42" t="s">
        <v>96</v>
      </c>
      <c r="L59" s="42" t="s">
        <v>105</v>
      </c>
      <c r="M59" s="42" t="s">
        <v>30</v>
      </c>
      <c r="N59" s="42" t="s">
        <v>75</v>
      </c>
      <c r="O59" s="46">
        <v>4.5999999999999996</v>
      </c>
      <c r="P59" s="47">
        <v>183</v>
      </c>
      <c r="Q59" s="44" t="s">
        <v>22</v>
      </c>
      <c r="R59" s="47">
        <v>9</v>
      </c>
      <c r="S59" s="42" t="s">
        <v>295</v>
      </c>
    </row>
    <row r="60" spans="1:19" s="40" customFormat="1" x14ac:dyDescent="0.25">
      <c r="A60" s="40" t="s">
        <v>296</v>
      </c>
      <c r="B60" s="41" t="s">
        <v>340</v>
      </c>
      <c r="C60" s="42" t="s">
        <v>25</v>
      </c>
      <c r="D60" s="42" t="s">
        <v>52</v>
      </c>
      <c r="E60" s="48">
        <v>128</v>
      </c>
      <c r="F60" s="48">
        <v>128</v>
      </c>
      <c r="G60" s="44" t="s">
        <v>73</v>
      </c>
      <c r="H60" s="49">
        <v>0</v>
      </c>
      <c r="I60" s="42" t="s">
        <v>297</v>
      </c>
      <c r="J60" s="42" t="s">
        <v>268</v>
      </c>
      <c r="K60" s="42" t="s">
        <v>96</v>
      </c>
      <c r="L60" s="42" t="s">
        <v>105</v>
      </c>
      <c r="M60" s="42" t="s">
        <v>30</v>
      </c>
      <c r="N60" s="42" t="s">
        <v>75</v>
      </c>
      <c r="O60" s="46">
        <v>4.4000000000000004</v>
      </c>
      <c r="P60" s="47">
        <v>308</v>
      </c>
      <c r="Q60" s="44" t="s">
        <v>21</v>
      </c>
      <c r="R60" s="47">
        <v>10</v>
      </c>
      <c r="S60" s="42" t="s">
        <v>208</v>
      </c>
    </row>
    <row r="61" spans="1:19" s="40" customFormat="1" x14ac:dyDescent="0.25">
      <c r="A61" s="40" t="s">
        <v>298</v>
      </c>
      <c r="B61" s="41" t="s">
        <v>299</v>
      </c>
      <c r="C61" s="42" t="s">
        <v>25</v>
      </c>
      <c r="D61" s="42" t="s">
        <v>52</v>
      </c>
      <c r="E61" s="48">
        <v>128</v>
      </c>
      <c r="F61" s="48">
        <v>128</v>
      </c>
      <c r="G61" s="44" t="s">
        <v>73</v>
      </c>
      <c r="H61" s="49">
        <v>0</v>
      </c>
      <c r="I61" s="42" t="s">
        <v>300</v>
      </c>
      <c r="J61" s="42" t="s">
        <v>254</v>
      </c>
      <c r="K61" s="42" t="s">
        <v>96</v>
      </c>
      <c r="L61" s="42" t="s">
        <v>105</v>
      </c>
      <c r="M61" s="42" t="s">
        <v>396</v>
      </c>
      <c r="N61" s="42" t="s">
        <v>75</v>
      </c>
      <c r="O61" s="46">
        <v>4.3</v>
      </c>
      <c r="P61" s="47">
        <v>46</v>
      </c>
      <c r="Q61" s="44" t="s">
        <v>21</v>
      </c>
      <c r="R61" s="47">
        <v>4</v>
      </c>
      <c r="S61" s="42" t="s">
        <v>208</v>
      </c>
    </row>
    <row r="62" spans="1:19" s="40" customFormat="1" x14ac:dyDescent="0.25">
      <c r="A62" s="40" t="s">
        <v>301</v>
      </c>
      <c r="B62" s="41" t="s">
        <v>302</v>
      </c>
      <c r="C62" s="42" t="s">
        <v>25</v>
      </c>
      <c r="D62" s="42" t="s">
        <v>52</v>
      </c>
      <c r="E62" s="48">
        <v>78</v>
      </c>
      <c r="F62" s="48">
        <v>78</v>
      </c>
      <c r="G62" s="44" t="s">
        <v>73</v>
      </c>
      <c r="H62" s="49">
        <v>0</v>
      </c>
      <c r="I62" s="42" t="s">
        <v>303</v>
      </c>
      <c r="J62" s="42" t="s">
        <v>254</v>
      </c>
      <c r="K62" s="42" t="s">
        <v>96</v>
      </c>
      <c r="L62" s="42" t="s">
        <v>105</v>
      </c>
      <c r="M62" s="42" t="s">
        <v>30</v>
      </c>
      <c r="N62" s="42" t="s">
        <v>75</v>
      </c>
      <c r="O62" s="46">
        <v>3.9</v>
      </c>
      <c r="P62" s="47">
        <v>487</v>
      </c>
      <c r="Q62" s="44" t="s">
        <v>21</v>
      </c>
      <c r="R62" s="47">
        <v>9</v>
      </c>
      <c r="S62" s="42" t="s">
        <v>304</v>
      </c>
    </row>
    <row r="63" spans="1:19" s="40" customFormat="1" x14ac:dyDescent="0.25">
      <c r="A63" s="40" t="s">
        <v>305</v>
      </c>
      <c r="B63" s="41" t="s">
        <v>341</v>
      </c>
      <c r="C63" s="42" t="s">
        <v>25</v>
      </c>
      <c r="D63" s="42" t="s">
        <v>26</v>
      </c>
      <c r="E63" s="48">
        <v>98</v>
      </c>
      <c r="F63" s="48">
        <v>98</v>
      </c>
      <c r="G63" s="44" t="s">
        <v>73</v>
      </c>
      <c r="H63" s="49">
        <v>0</v>
      </c>
      <c r="I63" s="42" t="s">
        <v>306</v>
      </c>
      <c r="J63" s="42" t="s">
        <v>253</v>
      </c>
      <c r="K63" s="42" t="s">
        <v>96</v>
      </c>
      <c r="L63" s="42" t="s">
        <v>105</v>
      </c>
      <c r="M63" s="42" t="s">
        <v>30</v>
      </c>
      <c r="N63" s="42" t="s">
        <v>75</v>
      </c>
      <c r="O63" s="46">
        <v>3.6</v>
      </c>
      <c r="P63" s="47">
        <v>78</v>
      </c>
      <c r="Q63" s="44" t="s">
        <v>21</v>
      </c>
      <c r="R63" s="47">
        <v>9</v>
      </c>
      <c r="S63" s="42" t="s">
        <v>307</v>
      </c>
    </row>
    <row r="64" spans="1:19" s="40" customFormat="1" x14ac:dyDescent="0.25">
      <c r="A64" s="40" t="s">
        <v>308</v>
      </c>
      <c r="B64" s="41" t="s">
        <v>309</v>
      </c>
      <c r="C64" s="42" t="s">
        <v>52</v>
      </c>
      <c r="D64" s="42" t="s">
        <v>311</v>
      </c>
      <c r="E64" s="48">
        <v>88</v>
      </c>
      <c r="F64" s="48">
        <v>88</v>
      </c>
      <c r="G64" s="44" t="s">
        <v>73</v>
      </c>
      <c r="H64" s="49">
        <v>0</v>
      </c>
      <c r="I64" s="42" t="s">
        <v>310</v>
      </c>
      <c r="J64" s="42" t="s">
        <v>254</v>
      </c>
      <c r="K64" s="42" t="s">
        <v>96</v>
      </c>
      <c r="L64" s="42" t="s">
        <v>105</v>
      </c>
      <c r="M64" s="42" t="s">
        <v>30</v>
      </c>
      <c r="N64" s="42" t="s">
        <v>75</v>
      </c>
      <c r="O64" s="46">
        <v>4.0999999999999996</v>
      </c>
      <c r="P64" s="47">
        <v>37</v>
      </c>
      <c r="Q64" s="44" t="s">
        <v>21</v>
      </c>
      <c r="R64" s="47">
        <v>9</v>
      </c>
      <c r="S64" s="42" t="s">
        <v>208</v>
      </c>
    </row>
    <row r="65" spans="1:19" s="40" customFormat="1" x14ac:dyDescent="0.25">
      <c r="A65" s="40" t="s">
        <v>312</v>
      </c>
      <c r="B65" s="41" t="s">
        <v>313</v>
      </c>
      <c r="C65" s="42" t="s">
        <v>314</v>
      </c>
      <c r="D65" s="42" t="s">
        <v>316</v>
      </c>
      <c r="E65" s="48">
        <v>118</v>
      </c>
      <c r="F65" s="48">
        <v>118</v>
      </c>
      <c r="G65" s="44" t="s">
        <v>73</v>
      </c>
      <c r="H65" s="49">
        <v>0</v>
      </c>
      <c r="I65" s="42" t="s">
        <v>317</v>
      </c>
      <c r="J65" s="42" t="s">
        <v>318</v>
      </c>
      <c r="K65" s="42" t="s">
        <v>319</v>
      </c>
      <c r="L65" s="42" t="s">
        <v>104</v>
      </c>
      <c r="M65" s="42" t="s">
        <v>30</v>
      </c>
      <c r="N65" s="42" t="s">
        <v>226</v>
      </c>
      <c r="O65" s="46">
        <v>4.4000000000000004</v>
      </c>
      <c r="P65" s="47">
        <v>219</v>
      </c>
      <c r="Q65" s="44" t="s">
        <v>22</v>
      </c>
      <c r="R65" s="47">
        <v>11</v>
      </c>
      <c r="S65" s="42" t="s">
        <v>327</v>
      </c>
    </row>
    <row r="66" spans="1:19" s="40" customFormat="1" x14ac:dyDescent="0.25">
      <c r="A66" s="40" t="s">
        <v>320</v>
      </c>
      <c r="B66" s="41" t="s">
        <v>321</v>
      </c>
      <c r="C66" s="42" t="s">
        <v>322</v>
      </c>
      <c r="D66" s="42" t="s">
        <v>333</v>
      </c>
      <c r="E66" s="48">
        <v>128</v>
      </c>
      <c r="F66" s="48">
        <v>128</v>
      </c>
      <c r="G66" s="44" t="s">
        <v>73</v>
      </c>
      <c r="H66" s="49">
        <v>0</v>
      </c>
      <c r="I66" s="42" t="s">
        <v>323</v>
      </c>
      <c r="J66" s="42" t="s">
        <v>324</v>
      </c>
      <c r="K66" s="42" t="s">
        <v>346</v>
      </c>
      <c r="L66" s="42" t="s">
        <v>104</v>
      </c>
      <c r="M66" s="42" t="s">
        <v>325</v>
      </c>
      <c r="N66" s="42" t="s">
        <v>75</v>
      </c>
      <c r="O66" s="46">
        <v>4.5</v>
      </c>
      <c r="P66" s="47">
        <v>22</v>
      </c>
      <c r="Q66" s="44" t="s">
        <v>22</v>
      </c>
      <c r="R66" s="47">
        <v>5</v>
      </c>
      <c r="S66" s="42" t="s">
        <v>326</v>
      </c>
    </row>
    <row r="67" spans="1:19" s="40" customFormat="1" x14ac:dyDescent="0.25">
      <c r="A67" s="40" t="s">
        <v>328</v>
      </c>
      <c r="B67" s="41" t="s">
        <v>329</v>
      </c>
      <c r="C67" s="42" t="s">
        <v>36</v>
      </c>
      <c r="D67" s="42" t="s">
        <v>415</v>
      </c>
      <c r="E67" s="48">
        <v>58</v>
      </c>
      <c r="F67" s="48">
        <v>58</v>
      </c>
      <c r="G67" s="44" t="s">
        <v>73</v>
      </c>
      <c r="H67" s="49">
        <v>0</v>
      </c>
      <c r="I67" s="42" t="s">
        <v>330</v>
      </c>
      <c r="J67" s="42" t="s">
        <v>331</v>
      </c>
      <c r="K67" s="42" t="s">
        <v>347</v>
      </c>
      <c r="L67" s="42" t="s">
        <v>104</v>
      </c>
      <c r="M67" s="42" t="s">
        <v>30</v>
      </c>
      <c r="N67" s="42" t="s">
        <v>75</v>
      </c>
      <c r="O67" s="46">
        <v>4.2</v>
      </c>
      <c r="P67" s="47">
        <v>232</v>
      </c>
      <c r="Q67" s="44" t="s">
        <v>21</v>
      </c>
      <c r="R67" s="47">
        <v>17</v>
      </c>
      <c r="S67" s="42" t="s">
        <v>332</v>
      </c>
    </row>
    <row r="68" spans="1:19" s="40" customFormat="1" x14ac:dyDescent="0.25">
      <c r="A68" s="40" t="s">
        <v>334</v>
      </c>
      <c r="B68" s="41" t="s">
        <v>335</v>
      </c>
      <c r="C68" s="42" t="s">
        <v>25</v>
      </c>
      <c r="D68" s="42" t="s">
        <v>206</v>
      </c>
      <c r="E68" s="48">
        <v>88</v>
      </c>
      <c r="F68" s="48">
        <v>88</v>
      </c>
      <c r="G68" s="44" t="s">
        <v>73</v>
      </c>
      <c r="H68" s="49">
        <v>0</v>
      </c>
      <c r="I68" s="42" t="s">
        <v>336</v>
      </c>
      <c r="J68" s="42" t="s">
        <v>290</v>
      </c>
      <c r="K68" s="42" t="s">
        <v>96</v>
      </c>
      <c r="L68" s="42" t="s">
        <v>105</v>
      </c>
      <c r="M68" s="42" t="s">
        <v>30</v>
      </c>
      <c r="N68" s="42" t="s">
        <v>75</v>
      </c>
      <c r="O68" s="46">
        <v>4.7</v>
      </c>
      <c r="P68" s="47">
        <v>151</v>
      </c>
      <c r="Q68" s="44" t="s">
        <v>21</v>
      </c>
      <c r="R68" s="47">
        <v>9</v>
      </c>
      <c r="S68" s="42" t="s">
        <v>208</v>
      </c>
    </row>
    <row r="69" spans="1:19" s="40" customFormat="1" x14ac:dyDescent="0.25">
      <c r="A69" s="40" t="s">
        <v>371</v>
      </c>
      <c r="B69" s="41" t="s">
        <v>372</v>
      </c>
      <c r="C69" s="42" t="s">
        <v>36</v>
      </c>
      <c r="D69" s="42" t="s">
        <v>40</v>
      </c>
      <c r="E69" s="48">
        <v>38</v>
      </c>
      <c r="F69" s="48">
        <v>38</v>
      </c>
      <c r="G69" s="44" t="s">
        <v>73</v>
      </c>
      <c r="H69" s="49">
        <v>0</v>
      </c>
      <c r="I69" s="42" t="s">
        <v>373</v>
      </c>
      <c r="J69" s="42" t="s">
        <v>290</v>
      </c>
      <c r="K69" s="42" t="s">
        <v>347</v>
      </c>
      <c r="L69" s="42" t="s">
        <v>104</v>
      </c>
      <c r="M69" s="42" t="s">
        <v>30</v>
      </c>
      <c r="N69" s="42" t="s">
        <v>75</v>
      </c>
      <c r="O69" s="46">
        <v>4.3</v>
      </c>
      <c r="P69" s="47">
        <v>173</v>
      </c>
      <c r="Q69" s="44" t="s">
        <v>21</v>
      </c>
      <c r="R69" s="47">
        <v>19</v>
      </c>
      <c r="S69" s="42" t="s">
        <v>374</v>
      </c>
    </row>
    <row r="70" spans="1:19" s="40" customFormat="1" x14ac:dyDescent="0.25">
      <c r="A70" s="40" t="s">
        <v>375</v>
      </c>
      <c r="B70" s="41" t="s">
        <v>379</v>
      </c>
      <c r="C70" s="42" t="s">
        <v>25</v>
      </c>
      <c r="D70" s="42" t="s">
        <v>414</v>
      </c>
      <c r="E70" s="48">
        <v>138</v>
      </c>
      <c r="F70" s="48">
        <v>138</v>
      </c>
      <c r="G70" s="44" t="s">
        <v>73</v>
      </c>
      <c r="H70" s="49">
        <v>0</v>
      </c>
      <c r="I70" s="42" t="s">
        <v>376</v>
      </c>
      <c r="J70" s="42" t="s">
        <v>268</v>
      </c>
      <c r="K70" s="42" t="s">
        <v>96</v>
      </c>
      <c r="L70" s="42" t="s">
        <v>105</v>
      </c>
      <c r="M70" s="42" t="s">
        <v>30</v>
      </c>
      <c r="N70" s="42" t="s">
        <v>75</v>
      </c>
      <c r="O70" s="46">
        <v>4.5</v>
      </c>
      <c r="P70" s="47">
        <v>501</v>
      </c>
      <c r="Q70" s="44" t="s">
        <v>21</v>
      </c>
      <c r="R70" s="47">
        <v>9</v>
      </c>
      <c r="S70" s="42" t="s">
        <v>208</v>
      </c>
    </row>
    <row r="71" spans="1:19" s="40" customFormat="1" x14ac:dyDescent="0.25">
      <c r="A71" s="40" t="s">
        <v>377</v>
      </c>
      <c r="B71" s="41" t="s">
        <v>378</v>
      </c>
      <c r="C71" s="42" t="s">
        <v>25</v>
      </c>
      <c r="D71" s="42" t="s">
        <v>206</v>
      </c>
      <c r="E71" s="48">
        <v>128</v>
      </c>
      <c r="F71" s="48">
        <v>128</v>
      </c>
      <c r="G71" s="44" t="s">
        <v>73</v>
      </c>
      <c r="H71" s="49">
        <v>0</v>
      </c>
      <c r="I71" s="42" t="s">
        <v>380</v>
      </c>
      <c r="J71" s="42" t="s">
        <v>381</v>
      </c>
      <c r="K71" s="42" t="s">
        <v>96</v>
      </c>
      <c r="L71" s="42" t="s">
        <v>105</v>
      </c>
      <c r="M71" s="42" t="s">
        <v>30</v>
      </c>
      <c r="N71" s="42" t="s">
        <v>75</v>
      </c>
      <c r="O71" s="46">
        <v>4.4000000000000004</v>
      </c>
      <c r="P71" s="47">
        <v>110</v>
      </c>
      <c r="Q71" s="44" t="s">
        <v>21</v>
      </c>
      <c r="R71" s="47">
        <v>9</v>
      </c>
      <c r="S71" s="42" t="s">
        <v>208</v>
      </c>
    </row>
    <row r="72" spans="1:19" s="40" customFormat="1" x14ac:dyDescent="0.25">
      <c r="A72" s="40" t="s">
        <v>382</v>
      </c>
      <c r="B72" s="41" t="s">
        <v>383</v>
      </c>
      <c r="C72" s="42" t="s">
        <v>118</v>
      </c>
      <c r="D72" s="42" t="s">
        <v>119</v>
      </c>
      <c r="E72" s="48">
        <v>128</v>
      </c>
      <c r="F72" s="48">
        <v>128</v>
      </c>
      <c r="G72" s="44" t="s">
        <v>73</v>
      </c>
      <c r="H72" s="49">
        <v>0</v>
      </c>
      <c r="I72" s="42" t="s">
        <v>384</v>
      </c>
      <c r="J72" s="42" t="s">
        <v>268</v>
      </c>
      <c r="K72" s="42" t="s">
        <v>96</v>
      </c>
      <c r="L72" s="42" t="s">
        <v>105</v>
      </c>
      <c r="M72" s="42" t="s">
        <v>30</v>
      </c>
      <c r="N72" s="42" t="s">
        <v>75</v>
      </c>
      <c r="O72" s="46">
        <v>4.4000000000000004</v>
      </c>
      <c r="P72" s="47">
        <v>131</v>
      </c>
      <c r="Q72" s="44" t="s">
        <v>21</v>
      </c>
      <c r="R72" s="47">
        <v>6</v>
      </c>
      <c r="S72" s="42" t="s">
        <v>208</v>
      </c>
    </row>
    <row r="73" spans="1:19" s="40" customFormat="1" x14ac:dyDescent="0.25">
      <c r="A73" s="40" t="s">
        <v>385</v>
      </c>
      <c r="B73" s="41" t="s">
        <v>386</v>
      </c>
      <c r="C73" s="42" t="s">
        <v>72</v>
      </c>
      <c r="D73" s="42" t="s">
        <v>387</v>
      </c>
      <c r="E73" s="48">
        <v>38</v>
      </c>
      <c r="F73" s="48">
        <v>38</v>
      </c>
      <c r="G73" s="44" t="s">
        <v>73</v>
      </c>
      <c r="H73" s="49">
        <v>0</v>
      </c>
      <c r="I73" s="42" t="s">
        <v>388</v>
      </c>
      <c r="J73" s="42" t="s">
        <v>258</v>
      </c>
      <c r="K73" s="42" t="s">
        <v>390</v>
      </c>
      <c r="L73" s="42" t="s">
        <v>106</v>
      </c>
      <c r="M73" s="42" t="s">
        <v>389</v>
      </c>
      <c r="N73" s="42" t="s">
        <v>72</v>
      </c>
      <c r="O73" s="46">
        <v>4.0999999999999996</v>
      </c>
      <c r="P73" s="47">
        <v>30</v>
      </c>
      <c r="Q73" s="44" t="s">
        <v>22</v>
      </c>
      <c r="R73" s="47">
        <v>7</v>
      </c>
      <c r="S73" s="42" t="s">
        <v>391</v>
      </c>
    </row>
    <row r="74" spans="1:19" s="40" customFormat="1" x14ac:dyDescent="0.25">
      <c r="A74" s="40" t="s">
        <v>392</v>
      </c>
      <c r="B74" s="41" t="s">
        <v>393</v>
      </c>
      <c r="C74" s="42" t="s">
        <v>25</v>
      </c>
      <c r="D74" s="42" t="s">
        <v>52</v>
      </c>
      <c r="E74" s="48">
        <v>148</v>
      </c>
      <c r="F74" s="48">
        <v>148</v>
      </c>
      <c r="G74" s="44" t="s">
        <v>73</v>
      </c>
      <c r="H74" s="49">
        <v>0</v>
      </c>
      <c r="I74" s="42" t="s">
        <v>394</v>
      </c>
      <c r="J74" s="42" t="s">
        <v>395</v>
      </c>
      <c r="K74" s="42" t="s">
        <v>96</v>
      </c>
      <c r="L74" s="42" t="s">
        <v>105</v>
      </c>
      <c r="M74" s="42" t="s">
        <v>396</v>
      </c>
      <c r="N74" s="42" t="s">
        <v>75</v>
      </c>
      <c r="O74" s="46">
        <v>4.4000000000000004</v>
      </c>
      <c r="P74" s="47">
        <v>778</v>
      </c>
      <c r="Q74" s="44" t="s">
        <v>22</v>
      </c>
      <c r="R74" s="47">
        <v>13</v>
      </c>
      <c r="S74" s="42" t="s">
        <v>406</v>
      </c>
    </row>
    <row r="75" spans="1:19" s="40" customFormat="1" x14ac:dyDescent="0.25">
      <c r="A75" s="40" t="s">
        <v>397</v>
      </c>
      <c r="B75" s="41" t="s">
        <v>398</v>
      </c>
      <c r="C75" s="42" t="s">
        <v>110</v>
      </c>
      <c r="D75" s="42" t="s">
        <v>264</v>
      </c>
      <c r="E75" s="48">
        <v>120</v>
      </c>
      <c r="F75" s="48">
        <v>120</v>
      </c>
      <c r="G75" s="44" t="s">
        <v>73</v>
      </c>
      <c r="H75" s="49">
        <v>0</v>
      </c>
      <c r="I75" s="42" t="s">
        <v>399</v>
      </c>
      <c r="J75" s="42" t="s">
        <v>324</v>
      </c>
      <c r="K75" s="42" t="s">
        <v>400</v>
      </c>
      <c r="L75" s="42" t="s">
        <v>104</v>
      </c>
      <c r="M75" s="42" t="s">
        <v>30</v>
      </c>
      <c r="N75" s="42" t="s">
        <v>75</v>
      </c>
      <c r="O75" s="46">
        <v>4.3</v>
      </c>
      <c r="P75" s="47">
        <v>114</v>
      </c>
      <c r="Q75" s="44" t="s">
        <v>22</v>
      </c>
      <c r="R75" s="47">
        <v>19</v>
      </c>
      <c r="S75" s="42" t="s">
        <v>401</v>
      </c>
    </row>
    <row r="76" spans="1:19" x14ac:dyDescent="0.25">
      <c r="A76" s="40" t="s">
        <v>402</v>
      </c>
      <c r="B76" s="41" t="s">
        <v>403</v>
      </c>
      <c r="C76" s="50" t="s">
        <v>25</v>
      </c>
      <c r="D76" s="42" t="s">
        <v>52</v>
      </c>
      <c r="E76" s="48">
        <v>98</v>
      </c>
      <c r="F76" s="48">
        <v>98</v>
      </c>
      <c r="G76" s="44" t="s">
        <v>73</v>
      </c>
      <c r="H76" s="49">
        <v>0</v>
      </c>
      <c r="I76" s="42" t="s">
        <v>404</v>
      </c>
      <c r="J76" s="42" t="s">
        <v>256</v>
      </c>
      <c r="K76" s="42" t="s">
        <v>405</v>
      </c>
      <c r="L76" s="42" t="s">
        <v>104</v>
      </c>
      <c r="M76" s="42" t="s">
        <v>30</v>
      </c>
      <c r="N76" s="42" t="s">
        <v>75</v>
      </c>
      <c r="O76" s="46">
        <v>4.3</v>
      </c>
      <c r="P76" s="47">
        <v>233</v>
      </c>
      <c r="Q76" s="44" t="s">
        <v>22</v>
      </c>
      <c r="R76" s="47">
        <v>9</v>
      </c>
      <c r="S76" s="42" t="s">
        <v>407</v>
      </c>
    </row>
    <row r="77" spans="1:19" x14ac:dyDescent="0.25">
      <c r="A77" s="40" t="s">
        <v>408</v>
      </c>
      <c r="B77" s="41" t="s">
        <v>411</v>
      </c>
      <c r="C77" s="50" t="s">
        <v>25</v>
      </c>
      <c r="D77" s="50" t="s">
        <v>414</v>
      </c>
      <c r="E77" s="48">
        <v>168</v>
      </c>
      <c r="F77" s="48">
        <v>168</v>
      </c>
      <c r="G77" s="44" t="s">
        <v>73</v>
      </c>
      <c r="H77" s="49">
        <v>0</v>
      </c>
      <c r="I77" s="42" t="s">
        <v>409</v>
      </c>
      <c r="J77" s="42" t="s">
        <v>410</v>
      </c>
      <c r="K77" s="42" t="s">
        <v>412</v>
      </c>
      <c r="L77" s="42" t="s">
        <v>106</v>
      </c>
      <c r="M77" s="42" t="s">
        <v>30</v>
      </c>
      <c r="N77" s="42" t="s">
        <v>75</v>
      </c>
      <c r="O77" s="46">
        <v>4.3</v>
      </c>
      <c r="P77" s="47">
        <v>47</v>
      </c>
      <c r="Q77" s="44" t="s">
        <v>22</v>
      </c>
      <c r="R77" s="47">
        <v>5</v>
      </c>
      <c r="S77" s="42" t="s">
        <v>413</v>
      </c>
    </row>
    <row r="78" spans="1:19" x14ac:dyDescent="0.25">
      <c r="E78" s="48"/>
      <c r="F78" s="48"/>
      <c r="G78" s="44"/>
      <c r="H78" s="49"/>
      <c r="I78" s="42"/>
      <c r="J78" s="42"/>
      <c r="K78" s="42"/>
      <c r="M78" s="42"/>
      <c r="N78" s="42"/>
      <c r="O78" s="46"/>
      <c r="P78" s="47"/>
      <c r="Q78" s="44"/>
      <c r="R78" s="47"/>
      <c r="S78" s="42"/>
    </row>
    <row r="79" spans="1:19" x14ac:dyDescent="0.25">
      <c r="E79" s="48"/>
      <c r="F79" s="48"/>
      <c r="G79" s="44"/>
      <c r="I79" s="42"/>
      <c r="J79" s="42"/>
      <c r="K79" s="42"/>
      <c r="M79" s="42"/>
      <c r="N79" s="42"/>
      <c r="O79" s="46"/>
      <c r="P79" s="47"/>
      <c r="Q79" s="44"/>
      <c r="R79" s="47"/>
      <c r="S79" s="42"/>
    </row>
    <row r="80" spans="1:19" x14ac:dyDescent="0.25">
      <c r="F80" s="48"/>
      <c r="G80" s="44"/>
      <c r="I80" s="42"/>
      <c r="J80" s="42"/>
      <c r="K80" s="42"/>
      <c r="M80" s="42"/>
      <c r="N80" s="42"/>
      <c r="O80" s="46"/>
      <c r="P80" s="47"/>
      <c r="Q80" s="44"/>
      <c r="R80" s="47"/>
      <c r="S80" s="42"/>
    </row>
    <row r="81" spans="6:19" x14ac:dyDescent="0.25">
      <c r="F81" s="48"/>
      <c r="I81" s="42"/>
      <c r="J81" s="42"/>
      <c r="K81" s="42"/>
      <c r="M81" s="42"/>
      <c r="N81" s="42"/>
      <c r="O81" s="46"/>
      <c r="P81" s="47"/>
      <c r="Q81" s="44"/>
      <c r="R81" s="47"/>
      <c r="S81" s="42"/>
    </row>
    <row r="82" spans="6:19" x14ac:dyDescent="0.25">
      <c r="M82" s="42"/>
      <c r="N82" s="42"/>
      <c r="O82" s="46"/>
      <c r="P82" s="47"/>
      <c r="Q82" s="44"/>
      <c r="R82" s="47"/>
      <c r="S82" s="42"/>
    </row>
    <row r="83" spans="6:19" x14ac:dyDescent="0.25">
      <c r="M83" s="42"/>
      <c r="N83" s="42"/>
      <c r="O83" s="46"/>
      <c r="P83" s="47"/>
      <c r="Q83" s="44"/>
      <c r="R83" s="47"/>
      <c r="S83" s="42"/>
    </row>
    <row r="84" spans="6:19" x14ac:dyDescent="0.25">
      <c r="M84" s="42"/>
      <c r="N84" s="42"/>
      <c r="O84" s="46"/>
      <c r="P84" s="47"/>
      <c r="Q84" s="44"/>
      <c r="R84" s="47"/>
      <c r="S84" s="42"/>
    </row>
    <row r="85" spans="6:19" x14ac:dyDescent="0.25">
      <c r="M85" s="42"/>
      <c r="N85" s="42"/>
      <c r="O85" s="46"/>
      <c r="P85" s="47"/>
      <c r="Q85" s="44"/>
      <c r="R85" s="47"/>
      <c r="S85" s="42"/>
    </row>
    <row r="86" spans="6:19" x14ac:dyDescent="0.25">
      <c r="M86" s="42"/>
      <c r="N86" s="42"/>
      <c r="O86" s="46"/>
      <c r="P86" s="47"/>
      <c r="Q86" s="44"/>
      <c r="R86" s="47"/>
      <c r="S86" s="42"/>
    </row>
    <row r="87" spans="6:19" x14ac:dyDescent="0.25">
      <c r="M87" s="42"/>
      <c r="N87" s="42"/>
      <c r="O87" s="46"/>
      <c r="P87" s="47"/>
      <c r="Q87" s="44"/>
      <c r="R87" s="47"/>
      <c r="S87" s="42"/>
    </row>
    <row r="88" spans="6:19" x14ac:dyDescent="0.25">
      <c r="M88" s="42"/>
      <c r="N88" s="42"/>
      <c r="O88" s="46"/>
      <c r="P88" s="47"/>
      <c r="Q88" s="44"/>
      <c r="R88" s="47"/>
      <c r="S88" s="42"/>
    </row>
    <row r="89" spans="6:19" x14ac:dyDescent="0.25">
      <c r="M89" s="42"/>
      <c r="N89" s="42"/>
      <c r="O89" s="46"/>
      <c r="P89" s="47"/>
      <c r="Q89" s="44"/>
      <c r="R89" s="47"/>
      <c r="S89" s="42"/>
    </row>
    <row r="90" spans="6:19" x14ac:dyDescent="0.25">
      <c r="M90" s="42"/>
      <c r="N90" s="42"/>
      <c r="O90" s="46"/>
      <c r="P90" s="47"/>
      <c r="Q90" s="44"/>
      <c r="R90" s="47"/>
      <c r="S90" s="42"/>
    </row>
    <row r="91" spans="6:19" x14ac:dyDescent="0.25">
      <c r="M91" s="42"/>
      <c r="N91" s="42"/>
      <c r="O91" s="46"/>
      <c r="P91" s="47"/>
      <c r="Q91" s="44"/>
      <c r="R91" s="47"/>
      <c r="S91" s="42"/>
    </row>
    <row r="92" spans="6:19" x14ac:dyDescent="0.25">
      <c r="M92" s="42"/>
      <c r="N92" s="42"/>
      <c r="O92" s="46"/>
      <c r="P92" s="47"/>
      <c r="Q92" s="44"/>
      <c r="R92" s="47"/>
      <c r="S92" s="42"/>
    </row>
    <row r="93" spans="6:19" x14ac:dyDescent="0.25">
      <c r="M93" s="42"/>
      <c r="N93" s="42"/>
      <c r="O93" s="46"/>
      <c r="P93" s="47"/>
      <c r="Q93" s="44"/>
      <c r="R93" s="47"/>
      <c r="S93" s="42"/>
    </row>
    <row r="94" spans="6:19" x14ac:dyDescent="0.25">
      <c r="M94" s="42"/>
      <c r="N94" s="42"/>
      <c r="O94" s="46"/>
      <c r="P94" s="47"/>
      <c r="Q94" s="44"/>
      <c r="R94" s="47"/>
      <c r="S94" s="42"/>
    </row>
  </sheetData>
  <mergeCells count="1">
    <mergeCell ref="A1:S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1F3E0-15B1-4C62-99C4-C77DF2D59C07}">
  <dimension ref="A1:T94"/>
  <sheetViews>
    <sheetView topLeftCell="D1" zoomScale="102" zoomScaleNormal="67" workbookViewId="0">
      <pane ySplit="2" topLeftCell="A67" activePane="bottomLeft" state="frozen"/>
      <selection activeCell="M1" sqref="M1"/>
      <selection pane="bottomLeft" activeCell="J89" sqref="J89"/>
    </sheetView>
  </sheetViews>
  <sheetFormatPr defaultRowHeight="15.75" x14ac:dyDescent="0.25"/>
  <cols>
    <col min="1" max="1" width="53" style="8" bestFit="1" customWidth="1"/>
    <col min="2" max="2" width="17.5703125" style="9" customWidth="1"/>
    <col min="3" max="3" width="27.5703125" style="29" customWidth="1"/>
    <col min="4" max="4" width="24.140625" style="29" customWidth="1"/>
    <col min="5" max="5" width="26" style="29" bestFit="1" customWidth="1"/>
    <col min="6" max="6" width="12.28515625" style="30" customWidth="1"/>
    <col min="7" max="7" width="22.7109375" style="3" customWidth="1"/>
    <col min="8" max="8" width="21.28515625" style="1" customWidth="1"/>
    <col min="9" max="9" width="16.7109375" style="7" customWidth="1"/>
    <col min="10" max="10" width="31.42578125" style="6" bestFit="1" customWidth="1"/>
    <col min="11" max="11" width="17.7109375" style="6" customWidth="1"/>
    <col min="12" max="12" width="67.42578125" style="6" bestFit="1" customWidth="1"/>
    <col min="13" max="13" width="39.28515625" style="6" customWidth="1"/>
    <col min="14" max="14" width="20" style="6" bestFit="1" customWidth="1"/>
    <col min="15" max="15" width="46.85546875" style="6" bestFit="1" customWidth="1"/>
    <col min="16" max="16" width="18.42578125" style="4" customWidth="1"/>
    <col min="17" max="17" width="23.7109375" style="5" customWidth="1"/>
    <col min="18" max="18" width="23.28515625" style="1" customWidth="1"/>
    <col min="19" max="19" width="27.28515625" style="5" customWidth="1"/>
    <col min="20" max="20" width="117.85546875" style="6" bestFit="1" customWidth="1"/>
  </cols>
  <sheetData>
    <row r="1" spans="1:20" s="2" customFormat="1" ht="21" customHeight="1" x14ac:dyDescent="0.3">
      <c r="A1" s="82" t="s">
        <v>14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</row>
    <row r="2" spans="1:20" s="18" customFormat="1" ht="16.5" x14ac:dyDescent="0.25">
      <c r="A2" s="18" t="s">
        <v>0</v>
      </c>
      <c r="B2" s="19" t="s">
        <v>23</v>
      </c>
      <c r="C2" s="20" t="s">
        <v>1</v>
      </c>
      <c r="D2" s="20" t="s">
        <v>461</v>
      </c>
      <c r="E2" s="20" t="s">
        <v>2</v>
      </c>
      <c r="F2" s="21" t="s">
        <v>3</v>
      </c>
      <c r="G2" s="21" t="s">
        <v>4</v>
      </c>
      <c r="H2" s="22" t="s">
        <v>5</v>
      </c>
      <c r="I2" s="23" t="s">
        <v>6</v>
      </c>
      <c r="J2" s="20" t="s">
        <v>7</v>
      </c>
      <c r="K2" s="20" t="s">
        <v>8</v>
      </c>
      <c r="L2" s="20" t="s">
        <v>9</v>
      </c>
      <c r="M2" s="20" t="s">
        <v>103</v>
      </c>
      <c r="N2" s="20" t="s">
        <v>13</v>
      </c>
      <c r="O2" s="20" t="s">
        <v>10</v>
      </c>
      <c r="P2" s="24" t="s">
        <v>19</v>
      </c>
      <c r="Q2" s="25" t="s">
        <v>11</v>
      </c>
      <c r="R2" s="22" t="s">
        <v>12</v>
      </c>
      <c r="S2" s="25" t="s">
        <v>18</v>
      </c>
      <c r="T2" s="20" t="s">
        <v>417</v>
      </c>
    </row>
    <row r="3" spans="1:20" s="8" customFormat="1" x14ac:dyDescent="0.25">
      <c r="A3" s="8" t="s">
        <v>15</v>
      </c>
      <c r="B3" s="9" t="s">
        <v>149</v>
      </c>
      <c r="C3" s="10" t="s">
        <v>98</v>
      </c>
      <c r="D3" s="10" t="str">
        <f>_xlfn.XLOOKUP(C3,'Lookup Table'!A:A,'Lookup Table'!B:B,"Not Found")</f>
        <v>Apparel</v>
      </c>
      <c r="E3" s="10" t="s">
        <v>16</v>
      </c>
      <c r="F3" s="11">
        <v>98</v>
      </c>
      <c r="G3" s="11">
        <v>98</v>
      </c>
      <c r="H3" s="12" t="s">
        <v>73</v>
      </c>
      <c r="I3" s="13">
        <v>0</v>
      </c>
      <c r="J3" s="10" t="s">
        <v>17</v>
      </c>
      <c r="K3" s="10" t="s">
        <v>426</v>
      </c>
      <c r="L3" s="10" t="s">
        <v>63</v>
      </c>
      <c r="M3" s="10" t="s">
        <v>432</v>
      </c>
      <c r="N3" s="10" t="s">
        <v>20</v>
      </c>
      <c r="O3" s="10" t="s">
        <v>75</v>
      </c>
      <c r="P3" s="14">
        <v>4.2</v>
      </c>
      <c r="Q3" s="15">
        <v>240</v>
      </c>
      <c r="R3" s="12" t="s">
        <v>22</v>
      </c>
      <c r="S3" s="15">
        <v>15</v>
      </c>
      <c r="T3" s="10" t="s">
        <v>69</v>
      </c>
    </row>
    <row r="4" spans="1:20" s="8" customFormat="1" x14ac:dyDescent="0.25">
      <c r="A4" s="8" t="s">
        <v>24</v>
      </c>
      <c r="B4" s="9" t="s">
        <v>27</v>
      </c>
      <c r="C4" s="10" t="s">
        <v>25</v>
      </c>
      <c r="D4" s="10" t="str">
        <f>_xlfn.XLOOKUP(C4,'Lookup Table'!A:A,'Lookup Table'!B:B,"Not Found")</f>
        <v>Apparel</v>
      </c>
      <c r="E4" s="10" t="s">
        <v>26</v>
      </c>
      <c r="F4" s="16">
        <v>128</v>
      </c>
      <c r="G4" s="16">
        <v>128</v>
      </c>
      <c r="H4" s="12" t="s">
        <v>73</v>
      </c>
      <c r="I4" s="17">
        <v>0</v>
      </c>
      <c r="J4" s="10" t="s">
        <v>28</v>
      </c>
      <c r="K4" s="10" t="s">
        <v>55</v>
      </c>
      <c r="L4" s="10" t="s">
        <v>42</v>
      </c>
      <c r="M4" s="10" t="s">
        <v>432</v>
      </c>
      <c r="N4" s="10" t="s">
        <v>30</v>
      </c>
      <c r="O4" s="10" t="s">
        <v>75</v>
      </c>
      <c r="P4" s="14">
        <v>4.3</v>
      </c>
      <c r="Q4" s="15">
        <v>160</v>
      </c>
      <c r="R4" s="12" t="s">
        <v>21</v>
      </c>
      <c r="S4" s="15">
        <v>9</v>
      </c>
      <c r="T4" s="10" t="s">
        <v>29</v>
      </c>
    </row>
    <row r="5" spans="1:20" s="8" customFormat="1" x14ac:dyDescent="0.25">
      <c r="A5" s="8" t="s">
        <v>24</v>
      </c>
      <c r="B5" s="9" t="s">
        <v>27</v>
      </c>
      <c r="C5" s="10" t="s">
        <v>25</v>
      </c>
      <c r="D5" s="10" t="str">
        <f>_xlfn.XLOOKUP(C5,'Lookup Table'!A:A,'Lookup Table'!B:B,"Not Found")</f>
        <v>Apparel</v>
      </c>
      <c r="E5" s="10" t="s">
        <v>26</v>
      </c>
      <c r="F5" s="16">
        <v>128</v>
      </c>
      <c r="G5" s="16">
        <v>128</v>
      </c>
      <c r="H5" s="12" t="s">
        <v>73</v>
      </c>
      <c r="I5" s="17">
        <v>0</v>
      </c>
      <c r="J5" s="10" t="s">
        <v>41</v>
      </c>
      <c r="K5" s="10" t="s">
        <v>426</v>
      </c>
      <c r="L5" s="10" t="s">
        <v>42</v>
      </c>
      <c r="M5" s="10" t="s">
        <v>432</v>
      </c>
      <c r="N5" s="10" t="s">
        <v>30</v>
      </c>
      <c r="O5" s="10" t="s">
        <v>75</v>
      </c>
      <c r="P5" s="14">
        <v>4.3</v>
      </c>
      <c r="Q5" s="15">
        <v>160</v>
      </c>
      <c r="R5" s="12" t="s">
        <v>22</v>
      </c>
      <c r="S5" s="15">
        <v>9</v>
      </c>
      <c r="T5" s="10" t="s">
        <v>43</v>
      </c>
    </row>
    <row r="6" spans="1:20" s="8" customFormat="1" x14ac:dyDescent="0.25">
      <c r="A6" s="8" t="s">
        <v>367</v>
      </c>
      <c r="B6" s="9" t="s">
        <v>368</v>
      </c>
      <c r="C6" s="10" t="s">
        <v>36</v>
      </c>
      <c r="D6" s="10" t="str">
        <f>_xlfn.XLOOKUP(C6,'Lookup Table'!A:A,'Lookup Table'!B:B,"Not Found")</f>
        <v>Apparel</v>
      </c>
      <c r="E6" s="10" t="s">
        <v>369</v>
      </c>
      <c r="F6" s="16">
        <v>78</v>
      </c>
      <c r="G6" s="16">
        <v>78</v>
      </c>
      <c r="H6" s="12" t="s">
        <v>73</v>
      </c>
      <c r="I6" s="17">
        <v>0</v>
      </c>
      <c r="J6" s="10" t="s">
        <v>370</v>
      </c>
      <c r="K6" s="10" t="s">
        <v>245</v>
      </c>
      <c r="L6" s="10" t="s">
        <v>96</v>
      </c>
      <c r="M6" s="10" t="s">
        <v>105</v>
      </c>
      <c r="N6" s="10" t="s">
        <v>30</v>
      </c>
      <c r="O6" s="10" t="s">
        <v>260</v>
      </c>
      <c r="P6" s="14">
        <v>4.4000000000000004</v>
      </c>
      <c r="Q6" s="15">
        <v>31</v>
      </c>
      <c r="R6" s="12" t="s">
        <v>21</v>
      </c>
      <c r="S6" s="15">
        <v>8</v>
      </c>
      <c r="T6" s="10" t="s">
        <v>121</v>
      </c>
    </row>
    <row r="7" spans="1:20" s="8" customFormat="1" x14ac:dyDescent="0.25">
      <c r="A7" s="8" t="s">
        <v>361</v>
      </c>
      <c r="B7" s="9" t="s">
        <v>362</v>
      </c>
      <c r="C7" s="10" t="s">
        <v>118</v>
      </c>
      <c r="D7" s="10" t="str">
        <f>_xlfn.XLOOKUP(C7,'Lookup Table'!A:A,'Lookup Table'!B:B,"Not Found")</f>
        <v>Apparel</v>
      </c>
      <c r="E7" s="10" t="s">
        <v>363</v>
      </c>
      <c r="F7" s="16">
        <v>168</v>
      </c>
      <c r="G7" s="16">
        <v>168</v>
      </c>
      <c r="H7" s="12" t="s">
        <v>73</v>
      </c>
      <c r="I7" s="17">
        <v>0</v>
      </c>
      <c r="J7" s="10" t="s">
        <v>364</v>
      </c>
      <c r="K7" s="10" t="s">
        <v>425</v>
      </c>
      <c r="L7" s="10" t="s">
        <v>365</v>
      </c>
      <c r="M7" s="10" t="s">
        <v>432</v>
      </c>
      <c r="N7" s="10" t="s">
        <v>30</v>
      </c>
      <c r="O7" s="10" t="s">
        <v>75</v>
      </c>
      <c r="P7" s="14">
        <v>4.3</v>
      </c>
      <c r="Q7" s="15">
        <v>11</v>
      </c>
      <c r="R7" s="12" t="s">
        <v>21</v>
      </c>
      <c r="S7" s="15">
        <v>4</v>
      </c>
      <c r="T7" s="10" t="s">
        <v>366</v>
      </c>
    </row>
    <row r="8" spans="1:20" s="8" customFormat="1" x14ac:dyDescent="0.25">
      <c r="A8" s="8" t="s">
        <v>35</v>
      </c>
      <c r="B8" s="26">
        <v>107496283</v>
      </c>
      <c r="C8" s="10" t="s">
        <v>36</v>
      </c>
      <c r="D8" s="10" t="str">
        <f>_xlfn.XLOOKUP(C8,'Lookup Table'!A:A,'Lookup Table'!B:B,"Not Found")</f>
        <v>Apparel</v>
      </c>
      <c r="E8" s="10" t="s">
        <v>40</v>
      </c>
      <c r="F8" s="16">
        <v>78</v>
      </c>
      <c r="G8" s="16">
        <v>78</v>
      </c>
      <c r="H8" s="12" t="s">
        <v>73</v>
      </c>
      <c r="I8" s="17">
        <v>0</v>
      </c>
      <c r="J8" s="10" t="s">
        <v>37</v>
      </c>
      <c r="K8" s="10" t="s">
        <v>245</v>
      </c>
      <c r="L8" s="10" t="s">
        <v>38</v>
      </c>
      <c r="M8" s="10" t="s">
        <v>106</v>
      </c>
      <c r="N8" s="10" t="s">
        <v>30</v>
      </c>
      <c r="O8" s="10" t="s">
        <v>75</v>
      </c>
      <c r="P8" s="14">
        <v>4.3</v>
      </c>
      <c r="Q8" s="15">
        <v>8</v>
      </c>
      <c r="R8" s="12" t="s">
        <v>21</v>
      </c>
      <c r="S8" s="15">
        <v>5</v>
      </c>
      <c r="T8" s="10" t="s">
        <v>39</v>
      </c>
    </row>
    <row r="9" spans="1:20" s="8" customFormat="1" x14ac:dyDescent="0.25">
      <c r="A9" s="8" t="s">
        <v>44</v>
      </c>
      <c r="B9" s="9" t="s">
        <v>45</v>
      </c>
      <c r="C9" s="10" t="s">
        <v>78</v>
      </c>
      <c r="D9" s="10" t="str">
        <f>_xlfn.XLOOKUP(C9,'Lookup Table'!A:A,'Lookup Table'!B:B,"Not Found")</f>
        <v>Accessories</v>
      </c>
      <c r="E9" s="10" t="s">
        <v>46</v>
      </c>
      <c r="F9" s="16">
        <v>25</v>
      </c>
      <c r="G9" s="16">
        <v>25</v>
      </c>
      <c r="H9" s="12" t="s">
        <v>73</v>
      </c>
      <c r="I9" s="17">
        <v>0</v>
      </c>
      <c r="J9" s="10" t="s">
        <v>47</v>
      </c>
      <c r="K9" s="10" t="s">
        <v>428</v>
      </c>
      <c r="L9" s="10" t="s">
        <v>48</v>
      </c>
      <c r="M9" s="10" t="s">
        <v>432</v>
      </c>
      <c r="N9" s="10" t="s">
        <v>30</v>
      </c>
      <c r="O9" s="10" t="s">
        <v>57</v>
      </c>
      <c r="P9" s="14">
        <v>3.4</v>
      </c>
      <c r="Q9" s="15">
        <v>139</v>
      </c>
      <c r="R9" s="12" t="s">
        <v>21</v>
      </c>
      <c r="S9" s="15">
        <v>6</v>
      </c>
      <c r="T9" s="10" t="s">
        <v>466</v>
      </c>
    </row>
    <row r="10" spans="1:20" s="8" customFormat="1" x14ac:dyDescent="0.25">
      <c r="A10" s="8" t="s">
        <v>50</v>
      </c>
      <c r="B10" s="9" t="s">
        <v>51</v>
      </c>
      <c r="C10" s="10" t="s">
        <v>52</v>
      </c>
      <c r="D10" s="10" t="str">
        <f>_xlfn.XLOOKUP(C10,'Lookup Table'!A:A,'Lookup Table'!B:B,"Not Found")</f>
        <v>Apparel</v>
      </c>
      <c r="E10" s="10" t="s">
        <v>53</v>
      </c>
      <c r="F10" s="16">
        <v>148</v>
      </c>
      <c r="G10" s="16">
        <v>148</v>
      </c>
      <c r="H10" s="12" t="s">
        <v>73</v>
      </c>
      <c r="I10" s="17">
        <v>0</v>
      </c>
      <c r="J10" s="10" t="s">
        <v>54</v>
      </c>
      <c r="K10" s="10" t="s">
        <v>254</v>
      </c>
      <c r="L10" s="10" t="s">
        <v>434</v>
      </c>
      <c r="M10" s="10" t="s">
        <v>432</v>
      </c>
      <c r="N10" s="10" t="s">
        <v>30</v>
      </c>
      <c r="O10" s="10" t="s">
        <v>75</v>
      </c>
      <c r="P10" s="14">
        <v>4.3</v>
      </c>
      <c r="Q10" s="15">
        <v>451</v>
      </c>
      <c r="R10" s="12" t="s">
        <v>22</v>
      </c>
      <c r="S10" s="15">
        <v>9</v>
      </c>
      <c r="T10" s="10" t="s">
        <v>444</v>
      </c>
    </row>
    <row r="11" spans="1:20" s="8" customFormat="1" x14ac:dyDescent="0.25">
      <c r="A11" s="8" t="s">
        <v>59</v>
      </c>
      <c r="B11" s="9" t="s">
        <v>150</v>
      </c>
      <c r="C11" s="10" t="s">
        <v>78</v>
      </c>
      <c r="D11" s="10" t="str">
        <f>_xlfn.XLOOKUP(C11,'Lookup Table'!A:A,'Lookup Table'!B:B,"Not Found")</f>
        <v>Accessories</v>
      </c>
      <c r="E11" s="10" t="s">
        <v>31</v>
      </c>
      <c r="F11" s="16">
        <v>178</v>
      </c>
      <c r="G11" s="16">
        <v>178</v>
      </c>
      <c r="H11" s="12" t="s">
        <v>73</v>
      </c>
      <c r="I11" s="17">
        <v>0</v>
      </c>
      <c r="J11" s="10" t="s">
        <v>60</v>
      </c>
      <c r="K11" s="10" t="s">
        <v>245</v>
      </c>
      <c r="L11" s="10" t="s">
        <v>61</v>
      </c>
      <c r="M11" s="10" t="s">
        <v>105</v>
      </c>
      <c r="N11" s="10" t="s">
        <v>30</v>
      </c>
      <c r="O11" s="10" t="s">
        <v>261</v>
      </c>
      <c r="P11" s="14">
        <v>4.3</v>
      </c>
      <c r="Q11" s="15">
        <v>415</v>
      </c>
      <c r="R11" s="12" t="s">
        <v>21</v>
      </c>
      <c r="S11" s="15">
        <v>9</v>
      </c>
      <c r="T11" s="10" t="s">
        <v>33</v>
      </c>
    </row>
    <row r="12" spans="1:20" s="8" customFormat="1" x14ac:dyDescent="0.25">
      <c r="A12" s="8" t="s">
        <v>64</v>
      </c>
      <c r="B12" s="9" t="s">
        <v>65</v>
      </c>
      <c r="C12" s="10" t="s">
        <v>36</v>
      </c>
      <c r="D12" s="10" t="str">
        <f>_xlfn.XLOOKUP(C12,'Lookup Table'!A:A,'Lookup Table'!B:B,"Not Found")</f>
        <v>Apparel</v>
      </c>
      <c r="E12" s="10" t="s">
        <v>66</v>
      </c>
      <c r="F12" s="16">
        <v>98</v>
      </c>
      <c r="G12" s="16">
        <v>98</v>
      </c>
      <c r="H12" s="12" t="s">
        <v>73</v>
      </c>
      <c r="I12" s="17">
        <v>0</v>
      </c>
      <c r="J12" s="10" t="s">
        <v>67</v>
      </c>
      <c r="K12" s="10" t="s">
        <v>430</v>
      </c>
      <c r="L12" s="10" t="s">
        <v>433</v>
      </c>
      <c r="M12" s="10" t="s">
        <v>106</v>
      </c>
      <c r="N12" s="10" t="s">
        <v>30</v>
      </c>
      <c r="O12" s="10" t="s">
        <v>75</v>
      </c>
      <c r="P12" s="14">
        <v>4</v>
      </c>
      <c r="Q12" s="15">
        <v>43</v>
      </c>
      <c r="R12" s="12" t="s">
        <v>21</v>
      </c>
      <c r="S12" s="15">
        <v>13</v>
      </c>
      <c r="T12" s="10" t="s">
        <v>68</v>
      </c>
    </row>
    <row r="13" spans="1:20" s="8" customFormat="1" x14ac:dyDescent="0.25">
      <c r="A13" s="8" t="s">
        <v>70</v>
      </c>
      <c r="B13" s="9" t="s">
        <v>71</v>
      </c>
      <c r="C13" s="10" t="s">
        <v>36</v>
      </c>
      <c r="D13" s="10" t="str">
        <f>_xlfn.XLOOKUP(C13,'Lookup Table'!A:A,'Lookup Table'!B:B,"Not Found")</f>
        <v>Apparel</v>
      </c>
      <c r="E13" s="10" t="s">
        <v>72</v>
      </c>
      <c r="F13" s="16">
        <v>40</v>
      </c>
      <c r="G13" s="16">
        <v>40</v>
      </c>
      <c r="H13" s="12" t="s">
        <v>73</v>
      </c>
      <c r="I13" s="17">
        <v>0</v>
      </c>
      <c r="J13" s="10" t="s">
        <v>74</v>
      </c>
      <c r="K13" s="10" t="s">
        <v>426</v>
      </c>
      <c r="L13" s="10" t="s">
        <v>156</v>
      </c>
      <c r="M13" s="10" t="s">
        <v>432</v>
      </c>
      <c r="N13" s="10" t="s">
        <v>30</v>
      </c>
      <c r="O13" s="10" t="s">
        <v>72</v>
      </c>
      <c r="P13" s="14">
        <v>4.2</v>
      </c>
      <c r="Q13" s="15">
        <v>81</v>
      </c>
      <c r="R13" s="12" t="s">
        <v>22</v>
      </c>
      <c r="S13" s="15">
        <v>12</v>
      </c>
      <c r="T13" s="10" t="s">
        <v>76</v>
      </c>
    </row>
    <row r="14" spans="1:20" s="8" customFormat="1" x14ac:dyDescent="0.25">
      <c r="A14" s="8" t="s">
        <v>77</v>
      </c>
      <c r="B14" s="9" t="s">
        <v>151</v>
      </c>
      <c r="C14" s="10" t="s">
        <v>78</v>
      </c>
      <c r="D14" s="10" t="str">
        <f>_xlfn.XLOOKUP(C14,'Lookup Table'!A:A,'Lookup Table'!B:B,"Not Found")</f>
        <v>Accessories</v>
      </c>
      <c r="E14" s="10" t="s">
        <v>79</v>
      </c>
      <c r="F14" s="16">
        <v>38</v>
      </c>
      <c r="G14" s="16">
        <v>38</v>
      </c>
      <c r="H14" s="12" t="s">
        <v>73</v>
      </c>
      <c r="I14" s="17">
        <v>0</v>
      </c>
      <c r="J14" s="10" t="s">
        <v>55</v>
      </c>
      <c r="K14" s="10" t="s">
        <v>55</v>
      </c>
      <c r="L14" s="10" t="s">
        <v>80</v>
      </c>
      <c r="M14" s="10" t="s">
        <v>105</v>
      </c>
      <c r="N14" s="10" t="s">
        <v>82</v>
      </c>
      <c r="O14" s="10" t="s">
        <v>261</v>
      </c>
      <c r="P14" s="14">
        <v>4.5999999999999996</v>
      </c>
      <c r="Q14" s="15">
        <v>7</v>
      </c>
      <c r="R14" s="12" t="s">
        <v>21</v>
      </c>
      <c r="S14" s="15">
        <v>5</v>
      </c>
      <c r="T14" s="10" t="s">
        <v>81</v>
      </c>
    </row>
    <row r="15" spans="1:20" s="8" customFormat="1" x14ac:dyDescent="0.25">
      <c r="A15" s="8" t="s">
        <v>148</v>
      </c>
      <c r="B15" s="9" t="s">
        <v>83</v>
      </c>
      <c r="C15" s="10" t="s">
        <v>78</v>
      </c>
      <c r="D15" s="10" t="str">
        <f>_xlfn.XLOOKUP(C15,'Lookup Table'!A:A,'Lookup Table'!B:B,"Not Found")</f>
        <v>Accessories</v>
      </c>
      <c r="E15" s="10" t="s">
        <v>84</v>
      </c>
      <c r="F15" s="16">
        <v>48</v>
      </c>
      <c r="G15" s="16">
        <v>48</v>
      </c>
      <c r="H15" s="12" t="s">
        <v>73</v>
      </c>
      <c r="I15" s="17">
        <v>0</v>
      </c>
      <c r="J15" s="10" t="s">
        <v>85</v>
      </c>
      <c r="K15" s="10" t="s">
        <v>426</v>
      </c>
      <c r="L15" s="10" t="s">
        <v>87</v>
      </c>
      <c r="M15" s="10" t="s">
        <v>105</v>
      </c>
      <c r="N15" s="10" t="s">
        <v>86</v>
      </c>
      <c r="O15" s="10" t="s">
        <v>261</v>
      </c>
      <c r="P15" s="14">
        <v>4</v>
      </c>
      <c r="Q15" s="15">
        <v>42</v>
      </c>
      <c r="R15" s="12" t="s">
        <v>21</v>
      </c>
      <c r="S15" s="12">
        <v>13</v>
      </c>
      <c r="T15" s="10" t="s">
        <v>88</v>
      </c>
    </row>
    <row r="16" spans="1:20" s="8" customFormat="1" x14ac:dyDescent="0.25">
      <c r="A16" s="8" t="s">
        <v>89</v>
      </c>
      <c r="B16" s="9" t="s">
        <v>90</v>
      </c>
      <c r="C16" s="10" t="s">
        <v>78</v>
      </c>
      <c r="D16" s="10" t="str">
        <f>_xlfn.XLOOKUP(C16,'Lookup Table'!A:A,'Lookup Table'!B:B,"Not Found")</f>
        <v>Accessories</v>
      </c>
      <c r="E16" s="10" t="s">
        <v>31</v>
      </c>
      <c r="F16" s="16">
        <v>198</v>
      </c>
      <c r="G16" s="16">
        <v>198</v>
      </c>
      <c r="H16" s="12" t="s">
        <v>73</v>
      </c>
      <c r="I16" s="17">
        <v>0</v>
      </c>
      <c r="J16" s="10" t="s">
        <v>91</v>
      </c>
      <c r="K16" s="10" t="s">
        <v>428</v>
      </c>
      <c r="L16" s="10" t="s">
        <v>61</v>
      </c>
      <c r="M16" s="10" t="s">
        <v>105</v>
      </c>
      <c r="N16" s="10" t="s">
        <v>92</v>
      </c>
      <c r="O16" s="10" t="s">
        <v>261</v>
      </c>
      <c r="P16" s="14">
        <v>4.0999999999999996</v>
      </c>
      <c r="Q16" s="15">
        <v>7</v>
      </c>
      <c r="R16" s="12" t="s">
        <v>21</v>
      </c>
      <c r="S16" s="15">
        <v>2</v>
      </c>
      <c r="T16" s="10" t="s">
        <v>93</v>
      </c>
    </row>
    <row r="17" spans="1:20" s="8" customFormat="1" x14ac:dyDescent="0.25">
      <c r="A17" s="8" t="s">
        <v>94</v>
      </c>
      <c r="B17" s="9" t="s">
        <v>152</v>
      </c>
      <c r="C17" s="10" t="s">
        <v>36</v>
      </c>
      <c r="D17" s="10" t="str">
        <f>_xlfn.XLOOKUP(C17,'Lookup Table'!A:A,'Lookup Table'!B:B,"Not Found")</f>
        <v>Apparel</v>
      </c>
      <c r="E17" s="10" t="s">
        <v>66</v>
      </c>
      <c r="F17" s="16">
        <v>48</v>
      </c>
      <c r="G17" s="16">
        <v>48</v>
      </c>
      <c r="H17" s="12" t="s">
        <v>73</v>
      </c>
      <c r="I17" s="17">
        <v>0</v>
      </c>
      <c r="J17" s="10" t="s">
        <v>95</v>
      </c>
      <c r="K17" s="10" t="s">
        <v>427</v>
      </c>
      <c r="L17" s="10" t="s">
        <v>96</v>
      </c>
      <c r="M17" s="10" t="s">
        <v>105</v>
      </c>
      <c r="N17" s="10" t="s">
        <v>30</v>
      </c>
      <c r="O17" s="10" t="s">
        <v>75</v>
      </c>
      <c r="P17" s="14">
        <v>4.3</v>
      </c>
      <c r="Q17" s="15">
        <v>22</v>
      </c>
      <c r="R17" s="12" t="s">
        <v>22</v>
      </c>
      <c r="S17" s="15">
        <v>7</v>
      </c>
      <c r="T17" s="10" t="s">
        <v>445</v>
      </c>
    </row>
    <row r="18" spans="1:20" s="8" customFormat="1" x14ac:dyDescent="0.25">
      <c r="A18" s="8" t="s">
        <v>97</v>
      </c>
      <c r="B18" s="9" t="s">
        <v>153</v>
      </c>
      <c r="C18" s="10" t="s">
        <v>98</v>
      </c>
      <c r="D18" s="10" t="str">
        <f>_xlfn.XLOOKUP(C18,'Lookup Table'!A:A,'Lookup Table'!B:B,"Not Found")</f>
        <v>Apparel</v>
      </c>
      <c r="E18" s="10" t="s">
        <v>99</v>
      </c>
      <c r="F18" s="16">
        <v>168</v>
      </c>
      <c r="G18" s="16">
        <v>168</v>
      </c>
      <c r="H18" s="12" t="s">
        <v>73</v>
      </c>
      <c r="I18" s="17">
        <v>0</v>
      </c>
      <c r="J18" s="10" t="s">
        <v>100</v>
      </c>
      <c r="K18" s="10" t="s">
        <v>428</v>
      </c>
      <c r="L18" s="10" t="s">
        <v>101</v>
      </c>
      <c r="M18" s="10" t="s">
        <v>432</v>
      </c>
      <c r="N18" s="10" t="s">
        <v>20</v>
      </c>
      <c r="O18" s="10" t="s">
        <v>193</v>
      </c>
      <c r="P18" s="14">
        <v>4</v>
      </c>
      <c r="Q18" s="15">
        <v>33</v>
      </c>
      <c r="R18" s="12" t="s">
        <v>21</v>
      </c>
      <c r="S18" s="15">
        <v>3</v>
      </c>
      <c r="T18" s="10" t="s">
        <v>102</v>
      </c>
    </row>
    <row r="19" spans="1:20" s="8" customFormat="1" x14ac:dyDescent="0.25">
      <c r="A19" s="8" t="s">
        <v>108</v>
      </c>
      <c r="B19" s="9" t="s">
        <v>109</v>
      </c>
      <c r="C19" s="10" t="s">
        <v>110</v>
      </c>
      <c r="D19" s="10" t="str">
        <f>_xlfn.XLOOKUP(C19,'Lookup Table'!A:A,'Lookup Table'!B:B,"Not Found")</f>
        <v>Footwear</v>
      </c>
      <c r="E19" s="10" t="s">
        <v>111</v>
      </c>
      <c r="F19" s="16">
        <v>128</v>
      </c>
      <c r="G19" s="16">
        <v>128</v>
      </c>
      <c r="H19" s="12" t="s">
        <v>73</v>
      </c>
      <c r="I19" s="17">
        <v>0</v>
      </c>
      <c r="J19" s="10" t="s">
        <v>112</v>
      </c>
      <c r="K19" s="10" t="s">
        <v>426</v>
      </c>
      <c r="L19" s="10" t="s">
        <v>113</v>
      </c>
      <c r="M19" s="10" t="s">
        <v>432</v>
      </c>
      <c r="N19" s="10" t="s">
        <v>114</v>
      </c>
      <c r="O19" s="10" t="s">
        <v>261</v>
      </c>
      <c r="P19" s="14">
        <v>4.0999999999999996</v>
      </c>
      <c r="Q19" s="15">
        <v>21</v>
      </c>
      <c r="R19" s="12" t="s">
        <v>22</v>
      </c>
      <c r="S19" s="15">
        <v>5</v>
      </c>
      <c r="T19" s="10" t="s">
        <v>446</v>
      </c>
    </row>
    <row r="20" spans="1:20" s="8" customFormat="1" x14ac:dyDescent="0.25">
      <c r="A20" s="8" t="s">
        <v>117</v>
      </c>
      <c r="B20" s="9" t="s">
        <v>154</v>
      </c>
      <c r="C20" s="10" t="s">
        <v>118</v>
      </c>
      <c r="D20" s="10" t="str">
        <f>_xlfn.XLOOKUP(C20,'Lookup Table'!A:A,'Lookup Table'!B:B,"Not Found")</f>
        <v>Apparel</v>
      </c>
      <c r="E20" s="10" t="s">
        <v>119</v>
      </c>
      <c r="F20" s="16">
        <v>128</v>
      </c>
      <c r="G20" s="16">
        <v>128</v>
      </c>
      <c r="H20" s="12" t="s">
        <v>73</v>
      </c>
      <c r="I20" s="17">
        <v>0</v>
      </c>
      <c r="J20" s="10" t="s">
        <v>120</v>
      </c>
      <c r="K20" s="10" t="s">
        <v>426</v>
      </c>
      <c r="L20" s="10" t="s">
        <v>96</v>
      </c>
      <c r="M20" s="10" t="s">
        <v>105</v>
      </c>
      <c r="N20" s="10" t="s">
        <v>30</v>
      </c>
      <c r="O20" s="10" t="s">
        <v>75</v>
      </c>
      <c r="P20" s="14">
        <v>4.5999999999999996</v>
      </c>
      <c r="Q20" s="15">
        <v>340</v>
      </c>
      <c r="R20" s="12" t="s">
        <v>21</v>
      </c>
      <c r="S20" s="15">
        <v>4</v>
      </c>
      <c r="T20" s="10" t="s">
        <v>121</v>
      </c>
    </row>
    <row r="21" spans="1:20" s="8" customFormat="1" x14ac:dyDescent="0.25">
      <c r="A21" s="8" t="s">
        <v>122</v>
      </c>
      <c r="B21" s="9" t="s">
        <v>123</v>
      </c>
      <c r="C21" s="10" t="s">
        <v>118</v>
      </c>
      <c r="D21" s="10" t="str">
        <f>_xlfn.XLOOKUP(C21,'Lookup Table'!A:A,'Lookup Table'!B:B,"Not Found")</f>
        <v>Apparel</v>
      </c>
      <c r="E21" s="10" t="s">
        <v>124</v>
      </c>
      <c r="F21" s="16">
        <v>198</v>
      </c>
      <c r="G21" s="16">
        <v>198</v>
      </c>
      <c r="H21" s="12" t="s">
        <v>73</v>
      </c>
      <c r="I21" s="17">
        <v>0</v>
      </c>
      <c r="J21" s="10" t="s">
        <v>125</v>
      </c>
      <c r="K21" s="10" t="s">
        <v>426</v>
      </c>
      <c r="L21" s="10" t="s">
        <v>96</v>
      </c>
      <c r="M21" s="10" t="s">
        <v>105</v>
      </c>
      <c r="N21" s="10" t="s">
        <v>30</v>
      </c>
      <c r="O21" s="10" t="s">
        <v>260</v>
      </c>
      <c r="P21" s="14">
        <v>3.7</v>
      </c>
      <c r="Q21" s="15">
        <v>7</v>
      </c>
      <c r="R21" s="12" t="s">
        <v>21</v>
      </c>
      <c r="S21" s="15">
        <v>3</v>
      </c>
      <c r="T21" s="10" t="s">
        <v>121</v>
      </c>
    </row>
    <row r="22" spans="1:20" s="8" customFormat="1" x14ac:dyDescent="0.25">
      <c r="A22" s="8" t="s">
        <v>126</v>
      </c>
      <c r="B22" s="9" t="s">
        <v>127</v>
      </c>
      <c r="C22" s="10" t="s">
        <v>118</v>
      </c>
      <c r="D22" s="10" t="str">
        <f>_xlfn.XLOOKUP(C22,'Lookup Table'!A:A,'Lookup Table'!B:B,"Not Found")</f>
        <v>Apparel</v>
      </c>
      <c r="E22" s="10" t="s">
        <v>422</v>
      </c>
      <c r="F22" s="16">
        <v>198</v>
      </c>
      <c r="G22" s="16">
        <v>198</v>
      </c>
      <c r="H22" s="12" t="s">
        <v>73</v>
      </c>
      <c r="I22" s="17">
        <v>0</v>
      </c>
      <c r="J22" s="10" t="s">
        <v>129</v>
      </c>
      <c r="K22" s="10" t="s">
        <v>426</v>
      </c>
      <c r="L22" s="10" t="s">
        <v>130</v>
      </c>
      <c r="M22" s="10" t="s">
        <v>432</v>
      </c>
      <c r="N22" s="10" t="s">
        <v>131</v>
      </c>
      <c r="O22" s="10" t="s">
        <v>260</v>
      </c>
      <c r="P22" s="14">
        <v>4.5</v>
      </c>
      <c r="Q22" s="15">
        <v>897</v>
      </c>
      <c r="R22" s="12" t="s">
        <v>22</v>
      </c>
      <c r="S22" s="15">
        <v>5</v>
      </c>
      <c r="T22" s="10" t="s">
        <v>140</v>
      </c>
    </row>
    <row r="23" spans="1:20" s="8" customFormat="1" x14ac:dyDescent="0.25">
      <c r="A23" s="8" t="s">
        <v>132</v>
      </c>
      <c r="B23" s="9" t="s">
        <v>155</v>
      </c>
      <c r="C23" s="10" t="s">
        <v>25</v>
      </c>
      <c r="D23" s="10" t="str">
        <f>_xlfn.XLOOKUP(C23,'Lookup Table'!A:A,'Lookup Table'!B:B,"Not Found")</f>
        <v>Apparel</v>
      </c>
      <c r="E23" s="10" t="s">
        <v>52</v>
      </c>
      <c r="F23" s="16">
        <v>148</v>
      </c>
      <c r="G23" s="16">
        <v>148</v>
      </c>
      <c r="H23" s="12" t="s">
        <v>73</v>
      </c>
      <c r="I23" s="17">
        <v>0</v>
      </c>
      <c r="J23" s="10" t="s">
        <v>133</v>
      </c>
      <c r="K23" s="10" t="s">
        <v>254</v>
      </c>
      <c r="L23" s="10" t="s">
        <v>134</v>
      </c>
      <c r="M23" s="10" t="s">
        <v>432</v>
      </c>
      <c r="N23" s="10" t="s">
        <v>30</v>
      </c>
      <c r="O23" s="10" t="s">
        <v>56</v>
      </c>
      <c r="P23" s="14">
        <v>4.3</v>
      </c>
      <c r="Q23" s="15">
        <v>40</v>
      </c>
      <c r="R23" s="12" t="s">
        <v>21</v>
      </c>
      <c r="S23" s="15">
        <v>5</v>
      </c>
      <c r="T23" s="10" t="s">
        <v>135</v>
      </c>
    </row>
    <row r="24" spans="1:20" s="8" customFormat="1" x14ac:dyDescent="0.25">
      <c r="A24" s="8" t="s">
        <v>136</v>
      </c>
      <c r="B24" s="9" t="s">
        <v>137</v>
      </c>
      <c r="C24" s="10" t="s">
        <v>25</v>
      </c>
      <c r="D24" s="10" t="str">
        <f>_xlfn.XLOOKUP(C24,'Lookup Table'!A:A,'Lookup Table'!B:B,"Not Found")</f>
        <v>Apparel</v>
      </c>
      <c r="E24" s="10" t="s">
        <v>52</v>
      </c>
      <c r="F24" s="16">
        <v>128</v>
      </c>
      <c r="G24" s="16">
        <v>128</v>
      </c>
      <c r="H24" s="12" t="s">
        <v>73</v>
      </c>
      <c r="I24" s="17">
        <v>0</v>
      </c>
      <c r="J24" s="10" t="s">
        <v>138</v>
      </c>
      <c r="K24" s="10" t="s">
        <v>254</v>
      </c>
      <c r="L24" s="10" t="s">
        <v>96</v>
      </c>
      <c r="M24" s="10" t="s">
        <v>105</v>
      </c>
      <c r="N24" s="10" t="s">
        <v>139</v>
      </c>
      <c r="O24" s="10" t="s">
        <v>56</v>
      </c>
      <c r="P24" s="14">
        <v>4.2</v>
      </c>
      <c r="Q24" s="15">
        <v>182</v>
      </c>
      <c r="R24" s="12" t="s">
        <v>22</v>
      </c>
      <c r="S24" s="15">
        <v>10</v>
      </c>
      <c r="T24" s="10" t="s">
        <v>141</v>
      </c>
    </row>
    <row r="25" spans="1:20" s="8" customFormat="1" x14ac:dyDescent="0.25">
      <c r="A25" s="8" t="s">
        <v>142</v>
      </c>
      <c r="B25" s="9" t="s">
        <v>143</v>
      </c>
      <c r="C25" s="10" t="s">
        <v>98</v>
      </c>
      <c r="D25" s="10" t="str">
        <f>_xlfn.XLOOKUP(C25,'Lookup Table'!A:A,'Lookup Table'!B:B,"Not Found")</f>
        <v>Apparel</v>
      </c>
      <c r="E25" s="10" t="s">
        <v>144</v>
      </c>
      <c r="F25" s="16">
        <v>168</v>
      </c>
      <c r="G25" s="16">
        <v>168</v>
      </c>
      <c r="H25" s="12" t="s">
        <v>73</v>
      </c>
      <c r="I25" s="17">
        <v>0</v>
      </c>
      <c r="J25" s="10" t="s">
        <v>145</v>
      </c>
      <c r="K25" s="10" t="s">
        <v>424</v>
      </c>
      <c r="L25" s="10" t="s">
        <v>146</v>
      </c>
      <c r="M25" s="10" t="s">
        <v>105</v>
      </c>
      <c r="N25" s="10" t="s">
        <v>30</v>
      </c>
      <c r="O25" s="10" t="s">
        <v>75</v>
      </c>
      <c r="P25" s="14">
        <v>4.3</v>
      </c>
      <c r="Q25" s="15">
        <v>108</v>
      </c>
      <c r="R25" s="12" t="s">
        <v>22</v>
      </c>
      <c r="S25" s="15">
        <v>16</v>
      </c>
      <c r="T25" s="10" t="s">
        <v>439</v>
      </c>
    </row>
    <row r="26" spans="1:20" s="8" customFormat="1" x14ac:dyDescent="0.25">
      <c r="A26" s="8" t="s">
        <v>157</v>
      </c>
      <c r="B26" s="9" t="s">
        <v>159</v>
      </c>
      <c r="C26" s="10" t="s">
        <v>36</v>
      </c>
      <c r="D26" s="10" t="str">
        <f>_xlfn.XLOOKUP(C26,'Lookup Table'!A:A,'Lookup Table'!B:B,"Not Found")</f>
        <v>Apparel</v>
      </c>
      <c r="E26" s="10" t="s">
        <v>66</v>
      </c>
      <c r="F26" s="16">
        <v>38</v>
      </c>
      <c r="G26" s="16">
        <v>38</v>
      </c>
      <c r="H26" s="12" t="s">
        <v>73</v>
      </c>
      <c r="I26" s="17">
        <v>0</v>
      </c>
      <c r="J26" s="10" t="s">
        <v>158</v>
      </c>
      <c r="K26" s="10" t="s">
        <v>430</v>
      </c>
      <c r="L26" s="10" t="s">
        <v>160</v>
      </c>
      <c r="M26" s="10" t="s">
        <v>432</v>
      </c>
      <c r="N26" s="10" t="s">
        <v>30</v>
      </c>
      <c r="O26" s="10" t="s">
        <v>75</v>
      </c>
      <c r="P26" s="14">
        <v>4.3</v>
      </c>
      <c r="Q26" s="15">
        <v>145</v>
      </c>
      <c r="R26" s="12" t="s">
        <v>22</v>
      </c>
      <c r="S26" s="15">
        <v>15</v>
      </c>
      <c r="T26" s="10" t="s">
        <v>161</v>
      </c>
    </row>
    <row r="27" spans="1:20" s="8" customFormat="1" x14ac:dyDescent="0.25">
      <c r="A27" s="8" t="s">
        <v>162</v>
      </c>
      <c r="B27" s="9" t="s">
        <v>163</v>
      </c>
      <c r="C27" s="10" t="s">
        <v>78</v>
      </c>
      <c r="D27" s="10" t="str">
        <f>_xlfn.XLOOKUP(C27,'Lookup Table'!A:A,'Lookup Table'!B:B,"Not Found")</f>
        <v>Accessories</v>
      </c>
      <c r="E27" s="10" t="s">
        <v>31</v>
      </c>
      <c r="F27" s="16">
        <v>248</v>
      </c>
      <c r="G27" s="16">
        <v>248</v>
      </c>
      <c r="H27" s="12" t="s">
        <v>73</v>
      </c>
      <c r="I27" s="17">
        <v>0</v>
      </c>
      <c r="J27" s="10" t="s">
        <v>60</v>
      </c>
      <c r="K27" s="10" t="s">
        <v>245</v>
      </c>
      <c r="L27" s="10" t="s">
        <v>61</v>
      </c>
      <c r="M27" s="10" t="s">
        <v>105</v>
      </c>
      <c r="N27" s="10" t="s">
        <v>30</v>
      </c>
      <c r="O27" s="10" t="s">
        <v>261</v>
      </c>
      <c r="P27" s="14">
        <v>4.0999999999999996</v>
      </c>
      <c r="Q27" s="15">
        <v>421</v>
      </c>
      <c r="R27" s="12" t="s">
        <v>21</v>
      </c>
      <c r="S27" s="15">
        <v>11</v>
      </c>
      <c r="T27" s="10" t="s">
        <v>33</v>
      </c>
    </row>
    <row r="28" spans="1:20" s="8" customFormat="1" x14ac:dyDescent="0.25">
      <c r="A28" s="8" t="s">
        <v>162</v>
      </c>
      <c r="B28" s="9" t="s">
        <v>163</v>
      </c>
      <c r="C28" s="10" t="s">
        <v>78</v>
      </c>
      <c r="D28" s="10" t="str">
        <f>_xlfn.XLOOKUP(C28,'Lookup Table'!A:A,'Lookup Table'!B:B,"Not Found")</f>
        <v>Accessories</v>
      </c>
      <c r="E28" s="10" t="s">
        <v>31</v>
      </c>
      <c r="F28" s="16">
        <v>248</v>
      </c>
      <c r="G28" s="16">
        <v>248</v>
      </c>
      <c r="H28" s="12" t="s">
        <v>73</v>
      </c>
      <c r="I28" s="17">
        <v>0</v>
      </c>
      <c r="J28" s="10" t="s">
        <v>91</v>
      </c>
      <c r="K28" s="10" t="s">
        <v>428</v>
      </c>
      <c r="L28" s="10" t="s">
        <v>61</v>
      </c>
      <c r="M28" s="10" t="s">
        <v>105</v>
      </c>
      <c r="N28" s="10" t="s">
        <v>30</v>
      </c>
      <c r="O28" s="10" t="s">
        <v>261</v>
      </c>
      <c r="P28" s="14">
        <v>4.0999999999999996</v>
      </c>
      <c r="Q28" s="15">
        <v>421</v>
      </c>
      <c r="R28" s="12" t="s">
        <v>21</v>
      </c>
      <c r="S28" s="15">
        <v>11</v>
      </c>
      <c r="T28" s="10" t="s">
        <v>33</v>
      </c>
    </row>
    <row r="29" spans="1:20" s="8" customFormat="1" x14ac:dyDescent="0.25">
      <c r="A29" s="8" t="s">
        <v>164</v>
      </c>
      <c r="B29" s="9" t="s">
        <v>165</v>
      </c>
      <c r="C29" s="10" t="s">
        <v>78</v>
      </c>
      <c r="D29" s="10" t="str">
        <f>_xlfn.XLOOKUP(C29,'Lookup Table'!A:A,'Lookup Table'!B:B,"Not Found")</f>
        <v>Accessories</v>
      </c>
      <c r="E29" s="10" t="s">
        <v>31</v>
      </c>
      <c r="F29" s="16">
        <v>98</v>
      </c>
      <c r="G29" s="16">
        <v>98</v>
      </c>
      <c r="H29" s="12" t="s">
        <v>73</v>
      </c>
      <c r="I29" s="17">
        <v>0</v>
      </c>
      <c r="J29" s="10" t="s">
        <v>166</v>
      </c>
      <c r="K29" s="10" t="s">
        <v>429</v>
      </c>
      <c r="L29" s="10" t="s">
        <v>167</v>
      </c>
      <c r="M29" s="10" t="s">
        <v>105</v>
      </c>
      <c r="N29" s="10" t="s">
        <v>30</v>
      </c>
      <c r="O29" s="10" t="s">
        <v>261</v>
      </c>
      <c r="P29" s="14">
        <v>4.2</v>
      </c>
      <c r="Q29" s="15">
        <v>200</v>
      </c>
      <c r="R29" s="12" t="s">
        <v>21</v>
      </c>
      <c r="S29" s="15">
        <v>9</v>
      </c>
      <c r="T29" s="10" t="s">
        <v>416</v>
      </c>
    </row>
    <row r="30" spans="1:20" s="8" customFormat="1" x14ac:dyDescent="0.25">
      <c r="A30" s="8" t="s">
        <v>169</v>
      </c>
      <c r="B30" s="9" t="s">
        <v>170</v>
      </c>
      <c r="C30" s="10" t="s">
        <v>98</v>
      </c>
      <c r="D30" s="10" t="str">
        <f>_xlfn.XLOOKUP(C30,'Lookup Table'!A:A,'Lookup Table'!B:B,"Not Found")</f>
        <v>Apparel</v>
      </c>
      <c r="E30" s="10" t="s">
        <v>99</v>
      </c>
      <c r="F30" s="16">
        <v>98</v>
      </c>
      <c r="G30" s="16">
        <v>98</v>
      </c>
      <c r="H30" s="12" t="s">
        <v>73</v>
      </c>
      <c r="I30" s="17">
        <v>0</v>
      </c>
      <c r="J30" s="10" t="s">
        <v>171</v>
      </c>
      <c r="K30" s="10" t="s">
        <v>430</v>
      </c>
      <c r="L30" s="10" t="s">
        <v>172</v>
      </c>
      <c r="M30" s="10" t="s">
        <v>432</v>
      </c>
      <c r="N30" s="10" t="s">
        <v>30</v>
      </c>
      <c r="O30" s="10" t="s">
        <v>75</v>
      </c>
      <c r="P30" s="14">
        <v>4.5999999999999996</v>
      </c>
      <c r="Q30" s="15">
        <v>29</v>
      </c>
      <c r="R30" s="12" t="s">
        <v>21</v>
      </c>
      <c r="S30" s="15">
        <v>7</v>
      </c>
      <c r="T30" s="10" t="s">
        <v>173</v>
      </c>
    </row>
    <row r="31" spans="1:20" s="8" customFormat="1" x14ac:dyDescent="0.25">
      <c r="A31" s="8" t="s">
        <v>174</v>
      </c>
      <c r="B31" s="9" t="s">
        <v>175</v>
      </c>
      <c r="C31" s="10" t="s">
        <v>25</v>
      </c>
      <c r="D31" s="10" t="str">
        <f>_xlfn.XLOOKUP(C31,'Lookup Table'!A:A,'Lookup Table'!B:B,"Not Found")</f>
        <v>Apparel</v>
      </c>
      <c r="E31" s="10" t="s">
        <v>52</v>
      </c>
      <c r="F31" s="16">
        <v>98</v>
      </c>
      <c r="G31" s="16">
        <v>98</v>
      </c>
      <c r="H31" s="12" t="s">
        <v>73</v>
      </c>
      <c r="I31" s="17">
        <v>0</v>
      </c>
      <c r="J31" s="10" t="s">
        <v>176</v>
      </c>
      <c r="K31" s="10" t="s">
        <v>254</v>
      </c>
      <c r="L31" s="10" t="s">
        <v>96</v>
      </c>
      <c r="M31" s="10" t="s">
        <v>105</v>
      </c>
      <c r="N31" s="10" t="s">
        <v>30</v>
      </c>
      <c r="O31" s="10" t="s">
        <v>75</v>
      </c>
      <c r="P31" s="14">
        <v>4.0999999999999996</v>
      </c>
      <c r="Q31" s="15">
        <v>89</v>
      </c>
      <c r="R31" s="12" t="s">
        <v>22</v>
      </c>
      <c r="S31" s="15">
        <v>6</v>
      </c>
      <c r="T31" s="10" t="s">
        <v>177</v>
      </c>
    </row>
    <row r="32" spans="1:20" s="8" customFormat="1" x14ac:dyDescent="0.25">
      <c r="A32" s="8" t="s">
        <v>178</v>
      </c>
      <c r="B32" s="9" t="s">
        <v>179</v>
      </c>
      <c r="C32" s="10" t="s">
        <v>78</v>
      </c>
      <c r="D32" s="10" t="str">
        <f>_xlfn.XLOOKUP(C32,'Lookup Table'!A:A,'Lookup Table'!B:B,"Not Found")</f>
        <v>Accessories</v>
      </c>
      <c r="E32" s="10" t="s">
        <v>180</v>
      </c>
      <c r="F32" s="16">
        <v>48</v>
      </c>
      <c r="G32" s="16">
        <v>48</v>
      </c>
      <c r="H32" s="12" t="s">
        <v>73</v>
      </c>
      <c r="I32" s="17">
        <v>0</v>
      </c>
      <c r="J32" s="10" t="s">
        <v>181</v>
      </c>
      <c r="K32" s="10" t="s">
        <v>427</v>
      </c>
      <c r="L32" s="10" t="s">
        <v>61</v>
      </c>
      <c r="M32" s="10" t="s">
        <v>105</v>
      </c>
      <c r="N32" s="10" t="s">
        <v>30</v>
      </c>
      <c r="O32" s="10" t="s">
        <v>75</v>
      </c>
      <c r="P32" s="14">
        <v>4.2</v>
      </c>
      <c r="Q32" s="15">
        <v>6</v>
      </c>
      <c r="R32" s="12" t="s">
        <v>22</v>
      </c>
      <c r="S32" s="15">
        <v>5</v>
      </c>
      <c r="T32" s="10" t="s">
        <v>447</v>
      </c>
    </row>
    <row r="33" spans="1:20" s="8" customFormat="1" x14ac:dyDescent="0.25">
      <c r="A33" s="8" t="s">
        <v>183</v>
      </c>
      <c r="B33" s="9" t="s">
        <v>184</v>
      </c>
      <c r="C33" s="10" t="s">
        <v>36</v>
      </c>
      <c r="D33" s="10" t="str">
        <f>_xlfn.XLOOKUP(C33,'Lookup Table'!A:A,'Lookup Table'!B:B,"Not Found")</f>
        <v>Apparel</v>
      </c>
      <c r="E33" s="10" t="s">
        <v>66</v>
      </c>
      <c r="F33" s="16">
        <v>38</v>
      </c>
      <c r="G33" s="16">
        <v>38</v>
      </c>
      <c r="H33" s="12" t="s">
        <v>73</v>
      </c>
      <c r="I33" s="17">
        <v>0</v>
      </c>
      <c r="J33" s="10" t="s">
        <v>34</v>
      </c>
      <c r="K33" s="10" t="s">
        <v>427</v>
      </c>
      <c r="L33" s="10" t="s">
        <v>190</v>
      </c>
      <c r="M33" s="10" t="s">
        <v>432</v>
      </c>
      <c r="N33" s="10" t="s">
        <v>30</v>
      </c>
      <c r="O33" s="10" t="s">
        <v>75</v>
      </c>
      <c r="P33" s="14">
        <v>4.5</v>
      </c>
      <c r="Q33" s="15">
        <v>278</v>
      </c>
      <c r="R33" s="12" t="s">
        <v>21</v>
      </c>
      <c r="S33" s="15">
        <v>19</v>
      </c>
      <c r="T33" s="10" t="s">
        <v>185</v>
      </c>
    </row>
    <row r="34" spans="1:20" s="8" customFormat="1" x14ac:dyDescent="0.25">
      <c r="A34" s="8" t="s">
        <v>186</v>
      </c>
      <c r="B34" s="9" t="s">
        <v>187</v>
      </c>
      <c r="C34" s="10" t="s">
        <v>110</v>
      </c>
      <c r="D34" s="10" t="str">
        <f>_xlfn.XLOOKUP(C34,'Lookup Table'!A:A,'Lookup Table'!B:B,"Not Found")</f>
        <v>Footwear</v>
      </c>
      <c r="E34" s="10" t="s">
        <v>188</v>
      </c>
      <c r="F34" s="16">
        <v>498</v>
      </c>
      <c r="G34" s="16">
        <v>498</v>
      </c>
      <c r="H34" s="12" t="s">
        <v>73</v>
      </c>
      <c r="I34" s="17">
        <v>0</v>
      </c>
      <c r="J34" s="10" t="s">
        <v>189</v>
      </c>
      <c r="K34" s="10" t="s">
        <v>426</v>
      </c>
      <c r="L34" s="10" t="s">
        <v>61</v>
      </c>
      <c r="M34" s="10" t="s">
        <v>105</v>
      </c>
      <c r="N34" s="10" t="s">
        <v>30</v>
      </c>
      <c r="O34" s="10" t="s">
        <v>261</v>
      </c>
      <c r="P34" s="14">
        <v>3.9</v>
      </c>
      <c r="Q34" s="15">
        <v>27</v>
      </c>
      <c r="R34" s="12" t="s">
        <v>21</v>
      </c>
      <c r="S34" s="15">
        <v>8</v>
      </c>
      <c r="T34" s="10" t="s">
        <v>191</v>
      </c>
    </row>
    <row r="35" spans="1:20" s="8" customFormat="1" x14ac:dyDescent="0.25">
      <c r="A35" s="8" t="s">
        <v>192</v>
      </c>
      <c r="B35" s="9" t="s">
        <v>194</v>
      </c>
      <c r="C35" s="10" t="s">
        <v>98</v>
      </c>
      <c r="D35" s="10" t="str">
        <f>_xlfn.XLOOKUP(C35,'Lookup Table'!A:A,'Lookup Table'!B:B,"Not Found")</f>
        <v>Apparel</v>
      </c>
      <c r="E35" s="10" t="s">
        <v>16</v>
      </c>
      <c r="F35" s="16">
        <v>78</v>
      </c>
      <c r="G35" s="16">
        <v>78</v>
      </c>
      <c r="H35" s="12" t="s">
        <v>73</v>
      </c>
      <c r="I35" s="17">
        <v>0</v>
      </c>
      <c r="J35" s="10" t="s">
        <v>95</v>
      </c>
      <c r="K35" s="10" t="s">
        <v>427</v>
      </c>
      <c r="L35" s="10" t="s">
        <v>96</v>
      </c>
      <c r="M35" s="10" t="s">
        <v>105</v>
      </c>
      <c r="N35" s="10" t="s">
        <v>30</v>
      </c>
      <c r="O35" s="10" t="s">
        <v>75</v>
      </c>
      <c r="P35" s="14">
        <v>4.4000000000000004</v>
      </c>
      <c r="Q35" s="15">
        <v>142</v>
      </c>
      <c r="R35" s="12" t="s">
        <v>21</v>
      </c>
      <c r="S35" s="15">
        <v>12</v>
      </c>
      <c r="T35" s="10" t="s">
        <v>121</v>
      </c>
    </row>
    <row r="36" spans="1:20" s="8" customFormat="1" x14ac:dyDescent="0.25">
      <c r="A36" s="8" t="s">
        <v>437</v>
      </c>
      <c r="B36" s="28">
        <v>58381005</v>
      </c>
      <c r="C36" s="10" t="s">
        <v>36</v>
      </c>
      <c r="D36" s="10" t="str">
        <f>_xlfn.XLOOKUP(C36,'Lookup Table'!A:A,'Lookup Table'!B:B,"Not Found")</f>
        <v>Apparel</v>
      </c>
      <c r="E36" s="10" t="s">
        <v>72</v>
      </c>
      <c r="F36" s="16">
        <v>40</v>
      </c>
      <c r="G36" s="16">
        <v>40</v>
      </c>
      <c r="H36" s="12" t="s">
        <v>73</v>
      </c>
      <c r="I36" s="17">
        <v>0</v>
      </c>
      <c r="J36" s="10" t="s">
        <v>100</v>
      </c>
      <c r="K36" s="10" t="s">
        <v>428</v>
      </c>
      <c r="L36" s="10" t="s">
        <v>438</v>
      </c>
      <c r="M36" s="10" t="s">
        <v>106</v>
      </c>
      <c r="N36" s="10" t="s">
        <v>202</v>
      </c>
      <c r="O36" s="10" t="s">
        <v>72</v>
      </c>
      <c r="P36" s="14">
        <v>4.4000000000000004</v>
      </c>
      <c r="Q36" s="15">
        <v>727</v>
      </c>
      <c r="R36" s="12" t="s">
        <v>22</v>
      </c>
      <c r="S36" s="15">
        <v>13</v>
      </c>
      <c r="T36" s="10" t="s">
        <v>449</v>
      </c>
    </row>
    <row r="37" spans="1:20" s="8" customFormat="1" x14ac:dyDescent="0.25">
      <c r="A37" s="27" t="s">
        <v>196</v>
      </c>
      <c r="B37" s="9" t="s">
        <v>197</v>
      </c>
      <c r="C37" s="10" t="s">
        <v>78</v>
      </c>
      <c r="D37" s="10" t="str">
        <f>_xlfn.XLOOKUP(C37,'Lookup Table'!A:A,'Lookup Table'!B:B,"Not Found")</f>
        <v>Accessories</v>
      </c>
      <c r="E37" s="10" t="s">
        <v>31</v>
      </c>
      <c r="F37" s="16">
        <v>148</v>
      </c>
      <c r="G37" s="16">
        <v>148</v>
      </c>
      <c r="H37" s="12" t="s">
        <v>73</v>
      </c>
      <c r="I37" s="17">
        <v>0</v>
      </c>
      <c r="J37" s="10" t="s">
        <v>198</v>
      </c>
      <c r="K37" s="10" t="s">
        <v>426</v>
      </c>
      <c r="L37" s="10" t="s">
        <v>61</v>
      </c>
      <c r="M37" s="10" t="s">
        <v>105</v>
      </c>
      <c r="N37" s="10" t="s">
        <v>30</v>
      </c>
      <c r="O37" s="10" t="s">
        <v>75</v>
      </c>
      <c r="P37" s="14">
        <v>3.5</v>
      </c>
      <c r="Q37" s="15">
        <v>8</v>
      </c>
      <c r="R37" s="12" t="s">
        <v>21</v>
      </c>
      <c r="S37" s="15">
        <v>1</v>
      </c>
      <c r="T37" s="10" t="s">
        <v>195</v>
      </c>
    </row>
    <row r="38" spans="1:20" s="8" customFormat="1" x14ac:dyDescent="0.25">
      <c r="A38" s="8" t="s">
        <v>199</v>
      </c>
      <c r="B38" s="28">
        <v>101374734</v>
      </c>
      <c r="C38" s="10" t="s">
        <v>78</v>
      </c>
      <c r="D38" s="10" t="str">
        <f>_xlfn.XLOOKUP(C38,'Lookup Table'!A:A,'Lookup Table'!B:B,"Not Found")</f>
        <v>Accessories</v>
      </c>
      <c r="E38" s="10" t="s">
        <v>84</v>
      </c>
      <c r="F38" s="16">
        <v>28</v>
      </c>
      <c r="G38" s="16">
        <v>28</v>
      </c>
      <c r="H38" s="12" t="s">
        <v>73</v>
      </c>
      <c r="I38" s="17">
        <v>0</v>
      </c>
      <c r="J38" s="10" t="s">
        <v>200</v>
      </c>
      <c r="K38" s="10" t="s">
        <v>265</v>
      </c>
      <c r="L38" s="10" t="s">
        <v>87</v>
      </c>
      <c r="M38" s="10" t="s">
        <v>105</v>
      </c>
      <c r="N38" s="10" t="s">
        <v>202</v>
      </c>
      <c r="O38" s="10" t="s">
        <v>203</v>
      </c>
      <c r="P38" s="14">
        <v>4</v>
      </c>
      <c r="Q38" s="15">
        <v>49</v>
      </c>
      <c r="R38" s="12" t="s">
        <v>21</v>
      </c>
      <c r="S38" s="15">
        <v>11</v>
      </c>
      <c r="T38" s="10" t="s">
        <v>88</v>
      </c>
    </row>
    <row r="39" spans="1:20" s="8" customFormat="1" x14ac:dyDescent="0.25">
      <c r="A39" s="8" t="s">
        <v>204</v>
      </c>
      <c r="B39" s="9" t="s">
        <v>205</v>
      </c>
      <c r="C39" s="10" t="s">
        <v>25</v>
      </c>
      <c r="D39" s="10" t="str">
        <f>_xlfn.XLOOKUP(C39,'Lookup Table'!A:A,'Lookup Table'!B:B,"Not Found")</f>
        <v>Apparel</v>
      </c>
      <c r="E39" s="10" t="s">
        <v>206</v>
      </c>
      <c r="F39" s="16">
        <v>78</v>
      </c>
      <c r="G39" s="16">
        <v>78</v>
      </c>
      <c r="H39" s="12" t="s">
        <v>73</v>
      </c>
      <c r="I39" s="17">
        <v>0</v>
      </c>
      <c r="J39" s="10" t="s">
        <v>207</v>
      </c>
      <c r="K39" s="10" t="s">
        <v>254</v>
      </c>
      <c r="L39" s="10" t="s">
        <v>96</v>
      </c>
      <c r="M39" s="10" t="s">
        <v>105</v>
      </c>
      <c r="N39" s="10" t="s">
        <v>30</v>
      </c>
      <c r="O39" s="10" t="s">
        <v>75</v>
      </c>
      <c r="P39" s="14">
        <v>4.0999999999999996</v>
      </c>
      <c r="Q39" s="15">
        <v>85</v>
      </c>
      <c r="R39" s="12" t="s">
        <v>22</v>
      </c>
      <c r="S39" s="15">
        <v>6</v>
      </c>
      <c r="T39" s="10" t="s">
        <v>208</v>
      </c>
    </row>
    <row r="40" spans="1:20" s="8" customFormat="1" x14ac:dyDescent="0.25">
      <c r="A40" s="8" t="s">
        <v>209</v>
      </c>
      <c r="B40" s="9" t="s">
        <v>210</v>
      </c>
      <c r="C40" s="10" t="s">
        <v>110</v>
      </c>
      <c r="D40" s="10" t="str">
        <f>_xlfn.XLOOKUP(C40,'Lookup Table'!A:A,'Lookup Table'!B:B,"Not Found")</f>
        <v>Footwear</v>
      </c>
      <c r="E40" s="10" t="s">
        <v>211</v>
      </c>
      <c r="F40" s="16">
        <v>200</v>
      </c>
      <c r="G40" s="16">
        <v>200</v>
      </c>
      <c r="H40" s="12" t="s">
        <v>73</v>
      </c>
      <c r="I40" s="17">
        <v>0</v>
      </c>
      <c r="J40" s="10" t="s">
        <v>212</v>
      </c>
      <c r="K40" s="10" t="s">
        <v>426</v>
      </c>
      <c r="L40" s="10" t="s">
        <v>113</v>
      </c>
      <c r="M40" s="10" t="s">
        <v>432</v>
      </c>
      <c r="N40" s="10" t="s">
        <v>30</v>
      </c>
      <c r="O40" s="10" t="s">
        <v>75</v>
      </c>
      <c r="P40" s="14">
        <v>4.9000000000000004</v>
      </c>
      <c r="Q40" s="15">
        <v>19</v>
      </c>
      <c r="R40" s="12" t="s">
        <v>21</v>
      </c>
      <c r="S40" s="15">
        <v>5</v>
      </c>
      <c r="T40" s="10" t="s">
        <v>349</v>
      </c>
    </row>
    <row r="41" spans="1:20" s="8" customFormat="1" x14ac:dyDescent="0.25">
      <c r="A41" s="8" t="s">
        <v>213</v>
      </c>
      <c r="B41" s="9" t="s">
        <v>214</v>
      </c>
      <c r="C41" s="10" t="s">
        <v>78</v>
      </c>
      <c r="D41" s="10" t="str">
        <f>_xlfn.XLOOKUP(C41,'Lookup Table'!A:A,'Lookup Table'!B:B,"Not Found")</f>
        <v>Accessories</v>
      </c>
      <c r="E41" s="10" t="s">
        <v>31</v>
      </c>
      <c r="F41" s="16">
        <v>198</v>
      </c>
      <c r="G41" s="16">
        <v>198</v>
      </c>
      <c r="H41" s="12" t="s">
        <v>73</v>
      </c>
      <c r="I41" s="17">
        <v>0</v>
      </c>
      <c r="J41" s="10" t="s">
        <v>32</v>
      </c>
      <c r="K41" s="10" t="s">
        <v>426</v>
      </c>
      <c r="L41" s="10" t="s">
        <v>61</v>
      </c>
      <c r="M41" s="10" t="s">
        <v>105</v>
      </c>
      <c r="N41" s="10" t="s">
        <v>30</v>
      </c>
      <c r="O41" s="10" t="s">
        <v>261</v>
      </c>
      <c r="P41" s="14">
        <v>4</v>
      </c>
      <c r="Q41" s="15">
        <v>7</v>
      </c>
      <c r="R41" s="12" t="s">
        <v>21</v>
      </c>
      <c r="S41" s="15">
        <v>3</v>
      </c>
      <c r="T41" s="10" t="s">
        <v>215</v>
      </c>
    </row>
    <row r="42" spans="1:20" s="8" customFormat="1" x14ac:dyDescent="0.25">
      <c r="A42" s="8" t="s">
        <v>216</v>
      </c>
      <c r="B42" s="9" t="s">
        <v>217</v>
      </c>
      <c r="C42" s="10" t="s">
        <v>118</v>
      </c>
      <c r="D42" s="10" t="str">
        <f>_xlfn.XLOOKUP(C42,'Lookup Table'!A:A,'Lookup Table'!B:B,"Not Found")</f>
        <v>Apparel</v>
      </c>
      <c r="E42" s="10" t="s">
        <v>421</v>
      </c>
      <c r="F42" s="16">
        <v>168</v>
      </c>
      <c r="G42" s="16">
        <v>168</v>
      </c>
      <c r="H42" s="12" t="s">
        <v>73</v>
      </c>
      <c r="I42" s="17">
        <v>0</v>
      </c>
      <c r="J42" s="10" t="s">
        <v>219</v>
      </c>
      <c r="K42" s="10" t="s">
        <v>426</v>
      </c>
      <c r="L42" s="10" t="s">
        <v>342</v>
      </c>
      <c r="M42" s="10" t="s">
        <v>106</v>
      </c>
      <c r="N42" s="10" t="s">
        <v>220</v>
      </c>
      <c r="O42" s="10" t="s">
        <v>348</v>
      </c>
      <c r="P42" s="14">
        <v>4.4000000000000004</v>
      </c>
      <c r="Q42" s="15">
        <v>78</v>
      </c>
      <c r="R42" s="12" t="s">
        <v>21</v>
      </c>
      <c r="S42" s="15">
        <v>3</v>
      </c>
      <c r="T42" s="10" t="s">
        <v>229</v>
      </c>
    </row>
    <row r="43" spans="1:20" s="8" customFormat="1" x14ac:dyDescent="0.25">
      <c r="A43" s="8" t="s">
        <v>221</v>
      </c>
      <c r="B43" s="9" t="s">
        <v>222</v>
      </c>
      <c r="C43" s="10" t="s">
        <v>78</v>
      </c>
      <c r="D43" s="10" t="str">
        <f>_xlfn.XLOOKUP(C43,'Lookup Table'!A:A,'Lookup Table'!B:B,"Not Found")</f>
        <v>Accessories</v>
      </c>
      <c r="E43" s="10" t="s">
        <v>223</v>
      </c>
      <c r="F43" s="16">
        <v>18</v>
      </c>
      <c r="G43" s="16">
        <v>18</v>
      </c>
      <c r="H43" s="12" t="s">
        <v>73</v>
      </c>
      <c r="I43" s="17">
        <v>0</v>
      </c>
      <c r="J43" s="10" t="s">
        <v>224</v>
      </c>
      <c r="K43" s="10" t="s">
        <v>426</v>
      </c>
      <c r="L43" s="10" t="s">
        <v>431</v>
      </c>
      <c r="M43" s="10" t="s">
        <v>106</v>
      </c>
      <c r="N43" s="10" t="s">
        <v>30</v>
      </c>
      <c r="O43" s="10" t="s">
        <v>226</v>
      </c>
      <c r="P43" s="14">
        <v>4.4000000000000004</v>
      </c>
      <c r="Q43" s="15">
        <v>7</v>
      </c>
      <c r="R43" s="12" t="s">
        <v>21</v>
      </c>
      <c r="S43" s="15">
        <v>5</v>
      </c>
      <c r="T43" s="10" t="s">
        <v>225</v>
      </c>
    </row>
    <row r="44" spans="1:20" s="8" customFormat="1" x14ac:dyDescent="0.25">
      <c r="A44" s="8" t="s">
        <v>227</v>
      </c>
      <c r="B44" s="9" t="s">
        <v>337</v>
      </c>
      <c r="C44" s="10" t="s">
        <v>78</v>
      </c>
      <c r="D44" s="10" t="str">
        <f>_xlfn.XLOOKUP(C44,'Lookup Table'!A:A,'Lookup Table'!B:B,"Not Found")</f>
        <v>Accessories</v>
      </c>
      <c r="E44" s="10" t="s">
        <v>84</v>
      </c>
      <c r="F44" s="16">
        <v>98</v>
      </c>
      <c r="G44" s="16">
        <v>98</v>
      </c>
      <c r="H44" s="12" t="s">
        <v>73</v>
      </c>
      <c r="I44" s="17">
        <v>0</v>
      </c>
      <c r="J44" s="10" t="s">
        <v>228</v>
      </c>
      <c r="K44" s="10" t="s">
        <v>426</v>
      </c>
      <c r="L44" s="10" t="s">
        <v>61</v>
      </c>
      <c r="M44" s="10" t="s">
        <v>105</v>
      </c>
      <c r="N44" s="10" t="s">
        <v>220</v>
      </c>
      <c r="O44" s="10" t="s">
        <v>348</v>
      </c>
      <c r="P44" s="14">
        <v>4.5999999999999996</v>
      </c>
      <c r="Q44" s="15">
        <v>29</v>
      </c>
      <c r="R44" s="12" t="s">
        <v>21</v>
      </c>
      <c r="S44" s="15">
        <v>5</v>
      </c>
      <c r="T44" s="10" t="s">
        <v>33</v>
      </c>
    </row>
    <row r="45" spans="1:20" s="8" customFormat="1" x14ac:dyDescent="0.25">
      <c r="A45" s="8" t="s">
        <v>356</v>
      </c>
      <c r="B45" s="9" t="s">
        <v>357</v>
      </c>
      <c r="C45" s="10" t="s">
        <v>25</v>
      </c>
      <c r="D45" s="10" t="str">
        <f>_xlfn.XLOOKUP(C45,'Lookup Table'!A:A,'Lookup Table'!B:B,"Not Found")</f>
        <v>Apparel</v>
      </c>
      <c r="E45" s="10" t="s">
        <v>358</v>
      </c>
      <c r="F45" s="16">
        <v>98</v>
      </c>
      <c r="G45" s="16">
        <v>98</v>
      </c>
      <c r="H45" s="12" t="s">
        <v>73</v>
      </c>
      <c r="I45" s="17">
        <v>0</v>
      </c>
      <c r="J45" s="10" t="s">
        <v>224</v>
      </c>
      <c r="K45" s="10" t="s">
        <v>426</v>
      </c>
      <c r="L45" s="10" t="s">
        <v>359</v>
      </c>
      <c r="M45" s="10" t="s">
        <v>432</v>
      </c>
      <c r="N45" s="10" t="s">
        <v>30</v>
      </c>
      <c r="O45" s="10" t="s">
        <v>75</v>
      </c>
      <c r="P45" s="14">
        <v>4.8</v>
      </c>
      <c r="Q45" s="15">
        <v>53</v>
      </c>
      <c r="R45" s="12" t="s">
        <v>22</v>
      </c>
      <c r="S45" s="15">
        <v>5</v>
      </c>
      <c r="T45" s="10" t="s">
        <v>360</v>
      </c>
    </row>
    <row r="46" spans="1:20" s="8" customFormat="1" x14ac:dyDescent="0.25">
      <c r="A46" s="8" t="s">
        <v>230</v>
      </c>
      <c r="B46" s="9" t="s">
        <v>231</v>
      </c>
      <c r="C46" s="10" t="s">
        <v>118</v>
      </c>
      <c r="D46" s="10" t="str">
        <f>_xlfn.XLOOKUP(C46,'Lookup Table'!A:A,'Lookup Table'!B:B,"Not Found")</f>
        <v>Apparel</v>
      </c>
      <c r="E46" s="10" t="s">
        <v>420</v>
      </c>
      <c r="F46" s="16">
        <v>198</v>
      </c>
      <c r="G46" s="16">
        <v>198</v>
      </c>
      <c r="H46" s="12" t="s">
        <v>73</v>
      </c>
      <c r="I46" s="17">
        <v>0</v>
      </c>
      <c r="J46" s="10" t="s">
        <v>233</v>
      </c>
      <c r="K46" s="10" t="s">
        <v>265</v>
      </c>
      <c r="L46" s="10" t="s">
        <v>130</v>
      </c>
      <c r="M46" s="10" t="s">
        <v>432</v>
      </c>
      <c r="N46" s="10" t="s">
        <v>234</v>
      </c>
      <c r="O46" s="10" t="s">
        <v>203</v>
      </c>
      <c r="P46" s="14">
        <v>4.5</v>
      </c>
      <c r="Q46" s="15">
        <v>56</v>
      </c>
      <c r="R46" s="12" t="s">
        <v>22</v>
      </c>
      <c r="S46" s="15">
        <v>6</v>
      </c>
      <c r="T46" s="10" t="s">
        <v>448</v>
      </c>
    </row>
    <row r="47" spans="1:20" s="8" customFormat="1" x14ac:dyDescent="0.25">
      <c r="A47" s="8" t="s">
        <v>350</v>
      </c>
      <c r="B47" s="9" t="s">
        <v>351</v>
      </c>
      <c r="C47" s="10" t="s">
        <v>110</v>
      </c>
      <c r="D47" s="10" t="str">
        <f>_xlfn.XLOOKUP(C47,'Lookup Table'!A:A,'Lookup Table'!B:B,"Not Found")</f>
        <v>Footwear</v>
      </c>
      <c r="E47" s="10" t="s">
        <v>264</v>
      </c>
      <c r="F47" s="16">
        <v>180</v>
      </c>
      <c r="G47" s="16">
        <v>180</v>
      </c>
      <c r="H47" s="12" t="s">
        <v>73</v>
      </c>
      <c r="I47" s="17">
        <v>0</v>
      </c>
      <c r="J47" s="10" t="s">
        <v>352</v>
      </c>
      <c r="K47" s="10" t="s">
        <v>55</v>
      </c>
      <c r="L47" s="10" t="s">
        <v>353</v>
      </c>
      <c r="M47" s="10" t="s">
        <v>432</v>
      </c>
      <c r="N47" s="10" t="s">
        <v>354</v>
      </c>
      <c r="O47" s="10" t="s">
        <v>75</v>
      </c>
      <c r="P47" s="14">
        <v>3.3</v>
      </c>
      <c r="Q47" s="15">
        <v>35</v>
      </c>
      <c r="R47" s="12" t="s">
        <v>21</v>
      </c>
      <c r="S47" s="15">
        <v>7</v>
      </c>
      <c r="T47" s="10" t="s">
        <v>355</v>
      </c>
    </row>
    <row r="48" spans="1:20" s="8" customFormat="1" x14ac:dyDescent="0.25">
      <c r="A48" s="8" t="s">
        <v>236</v>
      </c>
      <c r="B48" s="9" t="s">
        <v>237</v>
      </c>
      <c r="C48" s="10" t="s">
        <v>78</v>
      </c>
      <c r="D48" s="10" t="str">
        <f>_xlfn.XLOOKUP(C48,'Lookup Table'!A:A,'Lookup Table'!B:B,"Not Found")</f>
        <v>Accessories</v>
      </c>
      <c r="E48" s="10" t="s">
        <v>180</v>
      </c>
      <c r="F48" s="16">
        <v>48</v>
      </c>
      <c r="G48" s="16">
        <v>48</v>
      </c>
      <c r="H48" s="12" t="s">
        <v>73</v>
      </c>
      <c r="I48" s="17">
        <v>0</v>
      </c>
      <c r="J48" s="10" t="s">
        <v>238</v>
      </c>
      <c r="K48" s="10" t="s">
        <v>428</v>
      </c>
      <c r="L48" s="10" t="s">
        <v>61</v>
      </c>
      <c r="M48" s="10" t="s">
        <v>105</v>
      </c>
      <c r="N48" s="10" t="s">
        <v>92</v>
      </c>
      <c r="O48" s="10" t="s">
        <v>261</v>
      </c>
      <c r="P48" s="14">
        <v>4.2</v>
      </c>
      <c r="Q48" s="15">
        <v>38</v>
      </c>
      <c r="R48" s="12" t="s">
        <v>22</v>
      </c>
      <c r="S48" s="15">
        <v>11</v>
      </c>
      <c r="T48" s="10" t="s">
        <v>440</v>
      </c>
    </row>
    <row r="49" spans="1:20" s="8" customFormat="1" x14ac:dyDescent="0.25">
      <c r="A49" s="8" t="s">
        <v>240</v>
      </c>
      <c r="B49" s="9" t="s">
        <v>338</v>
      </c>
      <c r="C49" s="10" t="s">
        <v>25</v>
      </c>
      <c r="D49" s="10" t="str">
        <f>_xlfn.XLOOKUP(C49,'Lookup Table'!A:A,'Lookup Table'!B:B,"Not Found")</f>
        <v>Apparel</v>
      </c>
      <c r="E49" s="10" t="s">
        <v>414</v>
      </c>
      <c r="F49" s="16">
        <v>128</v>
      </c>
      <c r="G49" s="16">
        <v>128</v>
      </c>
      <c r="H49" s="12" t="s">
        <v>73</v>
      </c>
      <c r="I49" s="17">
        <v>0</v>
      </c>
      <c r="J49" s="10" t="s">
        <v>241</v>
      </c>
      <c r="K49" s="10" t="s">
        <v>429</v>
      </c>
      <c r="L49" s="10" t="s">
        <v>96</v>
      </c>
      <c r="M49" s="10" t="s">
        <v>105</v>
      </c>
      <c r="N49" s="10" t="s">
        <v>30</v>
      </c>
      <c r="O49" s="10" t="s">
        <v>75</v>
      </c>
      <c r="P49" s="14">
        <v>4.5999999999999996</v>
      </c>
      <c r="Q49" s="15">
        <v>54</v>
      </c>
      <c r="R49" s="12" t="s">
        <v>22</v>
      </c>
      <c r="S49" s="15">
        <v>4</v>
      </c>
      <c r="T49" s="10" t="s">
        <v>242</v>
      </c>
    </row>
    <row r="50" spans="1:20" s="8" customFormat="1" x14ac:dyDescent="0.25">
      <c r="A50" s="8" t="s">
        <v>243</v>
      </c>
      <c r="B50" s="9" t="s">
        <v>244</v>
      </c>
      <c r="C50" s="10" t="s">
        <v>36</v>
      </c>
      <c r="D50" s="10" t="str">
        <f>_xlfn.XLOOKUP(C50,'Lookup Table'!A:A,'Lookup Table'!B:B,"Not Found")</f>
        <v>Apparel</v>
      </c>
      <c r="E50" s="10" t="s">
        <v>66</v>
      </c>
      <c r="F50" s="16">
        <v>38</v>
      </c>
      <c r="G50" s="16">
        <v>38</v>
      </c>
      <c r="H50" s="12" t="s">
        <v>73</v>
      </c>
      <c r="I50" s="17">
        <v>0</v>
      </c>
      <c r="J50" s="10" t="s">
        <v>245</v>
      </c>
      <c r="K50" s="10" t="s">
        <v>245</v>
      </c>
      <c r="L50" s="10" t="s">
        <v>96</v>
      </c>
      <c r="M50" s="10" t="s">
        <v>105</v>
      </c>
      <c r="N50" s="10" t="s">
        <v>30</v>
      </c>
      <c r="O50" s="10" t="s">
        <v>75</v>
      </c>
      <c r="P50" s="14">
        <v>4.4000000000000004</v>
      </c>
      <c r="Q50" s="15">
        <v>193</v>
      </c>
      <c r="R50" s="12" t="s">
        <v>21</v>
      </c>
      <c r="S50" s="15">
        <v>13</v>
      </c>
      <c r="T50" s="10" t="s">
        <v>208</v>
      </c>
    </row>
    <row r="51" spans="1:20" s="8" customFormat="1" x14ac:dyDescent="0.25">
      <c r="A51" s="8" t="s">
        <v>246</v>
      </c>
      <c r="B51" s="9" t="s">
        <v>247</v>
      </c>
      <c r="C51" s="10" t="s">
        <v>98</v>
      </c>
      <c r="D51" s="10" t="str">
        <f>_xlfn.XLOOKUP(C51,'Lookup Table'!A:A,'Lookup Table'!B:B,"Not Found")</f>
        <v>Apparel</v>
      </c>
      <c r="E51" s="10" t="s">
        <v>16</v>
      </c>
      <c r="F51" s="16">
        <v>78</v>
      </c>
      <c r="G51" s="16">
        <v>78</v>
      </c>
      <c r="H51" s="12" t="s">
        <v>73</v>
      </c>
      <c r="I51" s="17">
        <v>0</v>
      </c>
      <c r="J51" s="10" t="s">
        <v>249</v>
      </c>
      <c r="K51" s="10" t="s">
        <v>426</v>
      </c>
      <c r="L51" s="10" t="s">
        <v>130</v>
      </c>
      <c r="M51" s="10" t="s">
        <v>432</v>
      </c>
      <c r="N51" s="10" t="s">
        <v>30</v>
      </c>
      <c r="O51" s="10" t="s">
        <v>75</v>
      </c>
      <c r="P51" s="14">
        <v>4.3</v>
      </c>
      <c r="Q51" s="15">
        <v>1317</v>
      </c>
      <c r="R51" s="12" t="s">
        <v>21</v>
      </c>
      <c r="S51" s="15">
        <v>16</v>
      </c>
      <c r="T51" s="10" t="s">
        <v>248</v>
      </c>
    </row>
    <row r="52" spans="1:20" s="8" customFormat="1" x14ac:dyDescent="0.25">
      <c r="A52" s="8" t="s">
        <v>250</v>
      </c>
      <c r="B52" s="9" t="s">
        <v>339</v>
      </c>
      <c r="C52" s="10" t="s">
        <v>25</v>
      </c>
      <c r="D52" s="10" t="str">
        <f>_xlfn.XLOOKUP(C52,'Lookup Table'!A:A,'Lookup Table'!B:B,"Not Found")</f>
        <v>Apparel</v>
      </c>
      <c r="E52" s="10" t="s">
        <v>414</v>
      </c>
      <c r="F52" s="16">
        <v>168</v>
      </c>
      <c r="G52" s="16">
        <v>168</v>
      </c>
      <c r="H52" s="12" t="s">
        <v>73</v>
      </c>
      <c r="I52" s="17">
        <v>0</v>
      </c>
      <c r="J52" s="10" t="s">
        <v>251</v>
      </c>
      <c r="K52" s="10" t="s">
        <v>55</v>
      </c>
      <c r="L52" s="10" t="s">
        <v>96</v>
      </c>
      <c r="M52" s="10" t="s">
        <v>105</v>
      </c>
      <c r="N52" s="10" t="s">
        <v>30</v>
      </c>
      <c r="O52" s="10" t="s">
        <v>75</v>
      </c>
      <c r="P52" s="14">
        <v>3.6</v>
      </c>
      <c r="Q52" s="15">
        <v>32</v>
      </c>
      <c r="R52" s="12" t="s">
        <v>22</v>
      </c>
      <c r="S52" s="15">
        <v>7</v>
      </c>
      <c r="T52" s="10" t="s">
        <v>441</v>
      </c>
    </row>
    <row r="53" spans="1:20" s="8" customFormat="1" x14ac:dyDescent="0.25">
      <c r="A53" s="8" t="s">
        <v>262</v>
      </c>
      <c r="B53" s="9" t="s">
        <v>263</v>
      </c>
      <c r="C53" s="10" t="s">
        <v>110</v>
      </c>
      <c r="D53" s="10" t="str">
        <f>_xlfn.XLOOKUP(C53,'Lookup Table'!A:A,'Lookup Table'!B:B,"Not Found")</f>
        <v>Footwear</v>
      </c>
      <c r="E53" s="10" t="s">
        <v>264</v>
      </c>
      <c r="F53" s="16">
        <v>160</v>
      </c>
      <c r="G53" s="16">
        <v>160</v>
      </c>
      <c r="H53" s="12" t="s">
        <v>73</v>
      </c>
      <c r="I53" s="17">
        <v>0</v>
      </c>
      <c r="J53" s="10" t="s">
        <v>265</v>
      </c>
      <c r="K53" s="10" t="s">
        <v>265</v>
      </c>
      <c r="L53" s="10" t="s">
        <v>266</v>
      </c>
      <c r="M53" s="10" t="s">
        <v>432</v>
      </c>
      <c r="N53" s="10" t="s">
        <v>30</v>
      </c>
      <c r="O53" s="10" t="s">
        <v>75</v>
      </c>
      <c r="P53" s="14">
        <v>4</v>
      </c>
      <c r="Q53" s="15">
        <v>83</v>
      </c>
      <c r="R53" s="12" t="s">
        <v>21</v>
      </c>
      <c r="S53" s="15">
        <v>9</v>
      </c>
      <c r="T53" s="10" t="s">
        <v>416</v>
      </c>
    </row>
    <row r="54" spans="1:20" s="8" customFormat="1" x14ac:dyDescent="0.25">
      <c r="A54" s="8" t="s">
        <v>269</v>
      </c>
      <c r="B54" s="9" t="s">
        <v>270</v>
      </c>
      <c r="C54" s="10" t="s">
        <v>25</v>
      </c>
      <c r="D54" s="10" t="str">
        <f>_xlfn.XLOOKUP(C54,'Lookup Table'!A:A,'Lookup Table'!B:B,"Not Found")</f>
        <v>Apparel</v>
      </c>
      <c r="E54" s="10" t="s">
        <v>52</v>
      </c>
      <c r="F54" s="16">
        <v>128</v>
      </c>
      <c r="G54" s="16">
        <v>128</v>
      </c>
      <c r="H54" s="12" t="s">
        <v>73</v>
      </c>
      <c r="I54" s="17">
        <v>0</v>
      </c>
      <c r="J54" s="10" t="s">
        <v>271</v>
      </c>
      <c r="K54" s="10" t="s">
        <v>254</v>
      </c>
      <c r="L54" s="10" t="s">
        <v>344</v>
      </c>
      <c r="M54" s="10" t="s">
        <v>432</v>
      </c>
      <c r="N54" s="10" t="s">
        <v>272</v>
      </c>
      <c r="O54" s="10" t="s">
        <v>75</v>
      </c>
      <c r="P54" s="14">
        <v>4.3</v>
      </c>
      <c r="Q54" s="15">
        <v>1595</v>
      </c>
      <c r="R54" s="12" t="s">
        <v>21</v>
      </c>
      <c r="S54" s="15">
        <v>18</v>
      </c>
      <c r="T54" s="10" t="s">
        <v>273</v>
      </c>
    </row>
    <row r="55" spans="1:20" s="8" customFormat="1" x14ac:dyDescent="0.25">
      <c r="A55" s="8" t="s">
        <v>274</v>
      </c>
      <c r="B55" s="9" t="s">
        <v>275</v>
      </c>
      <c r="C55" s="10" t="s">
        <v>25</v>
      </c>
      <c r="D55" s="10" t="str">
        <f>_xlfn.XLOOKUP(C55,'Lookup Table'!A:A,'Lookup Table'!B:B,"Not Found")</f>
        <v>Apparel</v>
      </c>
      <c r="E55" s="10" t="s">
        <v>52</v>
      </c>
      <c r="F55" s="16">
        <v>148</v>
      </c>
      <c r="G55" s="16">
        <v>148</v>
      </c>
      <c r="H55" s="12" t="s">
        <v>73</v>
      </c>
      <c r="I55" s="17">
        <v>0</v>
      </c>
      <c r="J55" s="10" t="s">
        <v>276</v>
      </c>
      <c r="K55" s="10" t="s">
        <v>254</v>
      </c>
      <c r="L55" s="10" t="s">
        <v>96</v>
      </c>
      <c r="M55" s="10" t="s">
        <v>105</v>
      </c>
      <c r="N55" s="10" t="s">
        <v>30</v>
      </c>
      <c r="O55" s="10" t="s">
        <v>75</v>
      </c>
      <c r="P55" s="14">
        <v>4.7</v>
      </c>
      <c r="Q55" s="15">
        <v>61</v>
      </c>
      <c r="R55" s="12" t="s">
        <v>21</v>
      </c>
      <c r="S55" s="15">
        <v>4</v>
      </c>
      <c r="T55" s="10" t="s">
        <v>208</v>
      </c>
    </row>
    <row r="56" spans="1:20" s="8" customFormat="1" x14ac:dyDescent="0.25">
      <c r="A56" s="8" t="s">
        <v>277</v>
      </c>
      <c r="B56" s="9" t="s">
        <v>278</v>
      </c>
      <c r="C56" s="10" t="s">
        <v>315</v>
      </c>
      <c r="D56" s="10" t="str">
        <f>_xlfn.XLOOKUP(C56,'Lookup Table'!A:A,'Lookup Table'!B:B,"Not Found")</f>
        <v>Apparel</v>
      </c>
      <c r="E56" s="10" t="s">
        <v>419</v>
      </c>
      <c r="F56" s="16">
        <v>98</v>
      </c>
      <c r="G56" s="16">
        <v>98</v>
      </c>
      <c r="H56" s="12" t="s">
        <v>73</v>
      </c>
      <c r="I56" s="17">
        <v>0</v>
      </c>
      <c r="J56" s="10" t="s">
        <v>280</v>
      </c>
      <c r="K56" s="10" t="s">
        <v>254</v>
      </c>
      <c r="L56" s="10" t="s">
        <v>96</v>
      </c>
      <c r="M56" s="10" t="s">
        <v>105</v>
      </c>
      <c r="N56" s="10" t="s">
        <v>30</v>
      </c>
      <c r="O56" s="10" t="s">
        <v>75</v>
      </c>
      <c r="P56" s="14">
        <v>4.5</v>
      </c>
      <c r="Q56" s="15">
        <v>97</v>
      </c>
      <c r="R56" s="12" t="s">
        <v>21</v>
      </c>
      <c r="S56" s="15">
        <v>8</v>
      </c>
      <c r="T56" s="10" t="s">
        <v>208</v>
      </c>
    </row>
    <row r="57" spans="1:20" s="8" customFormat="1" x14ac:dyDescent="0.25">
      <c r="A57" s="8" t="s">
        <v>281</v>
      </c>
      <c r="B57" s="9" t="s">
        <v>282</v>
      </c>
      <c r="C57" s="10" t="s">
        <v>25</v>
      </c>
      <c r="D57" s="10" t="str">
        <f>_xlfn.XLOOKUP(C57,'Lookup Table'!A:A,'Lookup Table'!B:B,"Not Found")</f>
        <v>Apparel</v>
      </c>
      <c r="E57" s="10" t="s">
        <v>283</v>
      </c>
      <c r="F57" s="16">
        <v>78</v>
      </c>
      <c r="G57" s="16">
        <v>78</v>
      </c>
      <c r="H57" s="12" t="s">
        <v>73</v>
      </c>
      <c r="I57" s="17">
        <v>0</v>
      </c>
      <c r="J57" s="10" t="s">
        <v>284</v>
      </c>
      <c r="K57" s="10" t="s">
        <v>428</v>
      </c>
      <c r="L57" s="10" t="s">
        <v>345</v>
      </c>
      <c r="M57" s="10" t="s">
        <v>105</v>
      </c>
      <c r="N57" s="10" t="s">
        <v>30</v>
      </c>
      <c r="O57" s="10" t="s">
        <v>75</v>
      </c>
      <c r="P57" s="14">
        <v>4.5999999999999996</v>
      </c>
      <c r="Q57" s="15">
        <v>68</v>
      </c>
      <c r="R57" s="12" t="s">
        <v>21</v>
      </c>
      <c r="S57" s="15">
        <v>9</v>
      </c>
      <c r="T57" s="10" t="s">
        <v>285</v>
      </c>
    </row>
    <row r="58" spans="1:20" s="8" customFormat="1" x14ac:dyDescent="0.25">
      <c r="A58" s="8" t="s">
        <v>286</v>
      </c>
      <c r="B58" s="9" t="s">
        <v>287</v>
      </c>
      <c r="C58" s="10" t="s">
        <v>25</v>
      </c>
      <c r="D58" s="10" t="str">
        <f>_xlfn.XLOOKUP(C58,'Lookup Table'!A:A,'Lookup Table'!B:B,"Not Found")</f>
        <v>Apparel</v>
      </c>
      <c r="E58" s="10" t="s">
        <v>288</v>
      </c>
      <c r="F58" s="16">
        <v>98</v>
      </c>
      <c r="G58" s="16">
        <v>98</v>
      </c>
      <c r="H58" s="12" t="s">
        <v>73</v>
      </c>
      <c r="I58" s="17">
        <v>0</v>
      </c>
      <c r="J58" s="10" t="s">
        <v>289</v>
      </c>
      <c r="K58" s="10" t="s">
        <v>424</v>
      </c>
      <c r="L58" s="10" t="s">
        <v>96</v>
      </c>
      <c r="M58" s="10" t="s">
        <v>105</v>
      </c>
      <c r="N58" s="10" t="s">
        <v>325</v>
      </c>
      <c r="O58" s="10" t="s">
        <v>75</v>
      </c>
      <c r="P58" s="14">
        <v>4.3</v>
      </c>
      <c r="Q58" s="15">
        <v>98</v>
      </c>
      <c r="R58" s="12" t="s">
        <v>22</v>
      </c>
      <c r="S58" s="15">
        <v>4</v>
      </c>
      <c r="T58" s="10" t="s">
        <v>442</v>
      </c>
    </row>
    <row r="59" spans="1:20" s="8" customFormat="1" x14ac:dyDescent="0.25">
      <c r="A59" s="8" t="s">
        <v>292</v>
      </c>
      <c r="B59" s="9" t="s">
        <v>293</v>
      </c>
      <c r="C59" s="10" t="s">
        <v>25</v>
      </c>
      <c r="D59" s="10" t="str">
        <f>_xlfn.XLOOKUP(C59,'Lookup Table'!A:A,'Lookup Table'!B:B,"Not Found")</f>
        <v>Apparel</v>
      </c>
      <c r="E59" s="10" t="s">
        <v>414</v>
      </c>
      <c r="F59" s="16">
        <v>148</v>
      </c>
      <c r="G59" s="16">
        <v>148</v>
      </c>
      <c r="H59" s="12" t="s">
        <v>73</v>
      </c>
      <c r="I59" s="17">
        <v>0</v>
      </c>
      <c r="J59" s="10" t="s">
        <v>294</v>
      </c>
      <c r="K59" s="10" t="s">
        <v>265</v>
      </c>
      <c r="L59" s="10" t="s">
        <v>96</v>
      </c>
      <c r="M59" s="10" t="s">
        <v>105</v>
      </c>
      <c r="N59" s="10" t="s">
        <v>30</v>
      </c>
      <c r="O59" s="10" t="s">
        <v>75</v>
      </c>
      <c r="P59" s="14">
        <v>4.5999999999999996</v>
      </c>
      <c r="Q59" s="15">
        <v>183</v>
      </c>
      <c r="R59" s="12" t="s">
        <v>22</v>
      </c>
      <c r="S59" s="15">
        <v>9</v>
      </c>
      <c r="T59" s="10" t="s">
        <v>443</v>
      </c>
    </row>
    <row r="60" spans="1:20" s="8" customFormat="1" x14ac:dyDescent="0.25">
      <c r="A60" s="8" t="s">
        <v>296</v>
      </c>
      <c r="B60" s="9" t="s">
        <v>340</v>
      </c>
      <c r="C60" s="10" t="s">
        <v>25</v>
      </c>
      <c r="D60" s="10" t="str">
        <f>_xlfn.XLOOKUP(C60,'Lookup Table'!A:A,'Lookup Table'!B:B,"Not Found")</f>
        <v>Apparel</v>
      </c>
      <c r="E60" s="10" t="s">
        <v>52</v>
      </c>
      <c r="F60" s="16">
        <v>128</v>
      </c>
      <c r="G60" s="16">
        <v>128</v>
      </c>
      <c r="H60" s="12" t="s">
        <v>73</v>
      </c>
      <c r="I60" s="17">
        <v>0</v>
      </c>
      <c r="J60" s="10" t="s">
        <v>297</v>
      </c>
      <c r="K60" s="10" t="s">
        <v>265</v>
      </c>
      <c r="L60" s="10" t="s">
        <v>96</v>
      </c>
      <c r="M60" s="10" t="s">
        <v>105</v>
      </c>
      <c r="N60" s="10" t="s">
        <v>30</v>
      </c>
      <c r="O60" s="10" t="s">
        <v>75</v>
      </c>
      <c r="P60" s="14">
        <v>4.4000000000000004</v>
      </c>
      <c r="Q60" s="15">
        <v>308</v>
      </c>
      <c r="R60" s="12" t="s">
        <v>21</v>
      </c>
      <c r="S60" s="15">
        <v>10</v>
      </c>
      <c r="T60" s="10" t="s">
        <v>208</v>
      </c>
    </row>
    <row r="61" spans="1:20" s="8" customFormat="1" x14ac:dyDescent="0.25">
      <c r="A61" s="8" t="s">
        <v>298</v>
      </c>
      <c r="B61" s="9" t="s">
        <v>299</v>
      </c>
      <c r="C61" s="10" t="s">
        <v>25</v>
      </c>
      <c r="D61" s="10" t="str">
        <f>_xlfn.XLOOKUP(C61,'Lookup Table'!A:A,'Lookup Table'!B:B,"Not Found")</f>
        <v>Apparel</v>
      </c>
      <c r="E61" s="10" t="s">
        <v>52</v>
      </c>
      <c r="F61" s="16">
        <v>128</v>
      </c>
      <c r="G61" s="16">
        <v>128</v>
      </c>
      <c r="H61" s="12" t="s">
        <v>73</v>
      </c>
      <c r="I61" s="17">
        <v>0</v>
      </c>
      <c r="J61" s="10" t="s">
        <v>300</v>
      </c>
      <c r="K61" s="10" t="s">
        <v>254</v>
      </c>
      <c r="L61" s="10" t="s">
        <v>96</v>
      </c>
      <c r="M61" s="10" t="s">
        <v>105</v>
      </c>
      <c r="N61" s="10" t="s">
        <v>396</v>
      </c>
      <c r="O61" s="10" t="s">
        <v>75</v>
      </c>
      <c r="P61" s="14">
        <v>4.3</v>
      </c>
      <c r="Q61" s="15">
        <v>46</v>
      </c>
      <c r="R61" s="12" t="s">
        <v>21</v>
      </c>
      <c r="S61" s="15">
        <v>4</v>
      </c>
      <c r="T61" s="10" t="s">
        <v>208</v>
      </c>
    </row>
    <row r="62" spans="1:20" s="8" customFormat="1" x14ac:dyDescent="0.25">
      <c r="A62" s="8" t="s">
        <v>301</v>
      </c>
      <c r="B62" s="9" t="s">
        <v>302</v>
      </c>
      <c r="C62" s="10" t="s">
        <v>25</v>
      </c>
      <c r="D62" s="10" t="str">
        <f>_xlfn.XLOOKUP(C62,'Lookup Table'!A:A,'Lookup Table'!B:B,"Not Found")</f>
        <v>Apparel</v>
      </c>
      <c r="E62" s="10" t="s">
        <v>52</v>
      </c>
      <c r="F62" s="16">
        <v>78</v>
      </c>
      <c r="G62" s="16">
        <v>78</v>
      </c>
      <c r="H62" s="12" t="s">
        <v>73</v>
      </c>
      <c r="I62" s="17">
        <v>0</v>
      </c>
      <c r="J62" s="10" t="s">
        <v>303</v>
      </c>
      <c r="K62" s="10" t="s">
        <v>254</v>
      </c>
      <c r="L62" s="10" t="s">
        <v>96</v>
      </c>
      <c r="M62" s="10" t="s">
        <v>105</v>
      </c>
      <c r="N62" s="10" t="s">
        <v>30</v>
      </c>
      <c r="O62" s="10" t="s">
        <v>75</v>
      </c>
      <c r="P62" s="14">
        <v>3.9</v>
      </c>
      <c r="Q62" s="15">
        <v>487</v>
      </c>
      <c r="R62" s="12" t="s">
        <v>21</v>
      </c>
      <c r="S62" s="15">
        <v>9</v>
      </c>
      <c r="T62" s="10" t="s">
        <v>304</v>
      </c>
    </row>
    <row r="63" spans="1:20" s="8" customFormat="1" x14ac:dyDescent="0.25">
      <c r="A63" s="8" t="s">
        <v>305</v>
      </c>
      <c r="B63" s="9" t="s">
        <v>341</v>
      </c>
      <c r="C63" s="10" t="s">
        <v>25</v>
      </c>
      <c r="D63" s="10" t="str">
        <f>_xlfn.XLOOKUP(C63,'Lookup Table'!A:A,'Lookup Table'!B:B,"Not Found")</f>
        <v>Apparel</v>
      </c>
      <c r="E63" s="10" t="s">
        <v>26</v>
      </c>
      <c r="F63" s="16">
        <v>98</v>
      </c>
      <c r="G63" s="16">
        <v>98</v>
      </c>
      <c r="H63" s="12" t="s">
        <v>73</v>
      </c>
      <c r="I63" s="17">
        <v>0</v>
      </c>
      <c r="J63" s="10" t="s">
        <v>306</v>
      </c>
      <c r="K63" s="10" t="s">
        <v>426</v>
      </c>
      <c r="L63" s="10" t="s">
        <v>96</v>
      </c>
      <c r="M63" s="10" t="s">
        <v>105</v>
      </c>
      <c r="N63" s="10" t="s">
        <v>30</v>
      </c>
      <c r="O63" s="10" t="s">
        <v>75</v>
      </c>
      <c r="P63" s="14">
        <v>3.6</v>
      </c>
      <c r="Q63" s="15">
        <v>78</v>
      </c>
      <c r="R63" s="12" t="s">
        <v>21</v>
      </c>
      <c r="S63" s="15">
        <v>9</v>
      </c>
      <c r="T63" s="10" t="s">
        <v>307</v>
      </c>
    </row>
    <row r="64" spans="1:20" s="8" customFormat="1" x14ac:dyDescent="0.25">
      <c r="A64" s="8" t="s">
        <v>308</v>
      </c>
      <c r="B64" s="9" t="s">
        <v>309</v>
      </c>
      <c r="C64" s="10" t="s">
        <v>52</v>
      </c>
      <c r="D64" s="10" t="str">
        <f>_xlfn.XLOOKUP(C64,'Lookup Table'!A:A,'Lookup Table'!B:B,"Not Found")</f>
        <v>Apparel</v>
      </c>
      <c r="E64" s="10" t="s">
        <v>311</v>
      </c>
      <c r="F64" s="16">
        <v>88</v>
      </c>
      <c r="G64" s="16">
        <v>88</v>
      </c>
      <c r="H64" s="12" t="s">
        <v>73</v>
      </c>
      <c r="I64" s="17">
        <v>0</v>
      </c>
      <c r="J64" s="10" t="s">
        <v>310</v>
      </c>
      <c r="K64" s="10" t="s">
        <v>254</v>
      </c>
      <c r="L64" s="10" t="s">
        <v>96</v>
      </c>
      <c r="M64" s="10" t="s">
        <v>105</v>
      </c>
      <c r="N64" s="10" t="s">
        <v>30</v>
      </c>
      <c r="O64" s="10" t="s">
        <v>75</v>
      </c>
      <c r="P64" s="14">
        <v>4.0999999999999996</v>
      </c>
      <c r="Q64" s="15">
        <v>37</v>
      </c>
      <c r="R64" s="12" t="s">
        <v>21</v>
      </c>
      <c r="S64" s="15">
        <v>9</v>
      </c>
      <c r="T64" s="10" t="s">
        <v>208</v>
      </c>
    </row>
    <row r="65" spans="1:20" s="8" customFormat="1" x14ac:dyDescent="0.25">
      <c r="A65" s="8" t="s">
        <v>312</v>
      </c>
      <c r="B65" s="9" t="s">
        <v>313</v>
      </c>
      <c r="C65" s="10" t="s">
        <v>314</v>
      </c>
      <c r="D65" s="10" t="str">
        <f>_xlfn.XLOOKUP(C65,'Lookup Table'!A:A,'Lookup Table'!B:B,"Not Found")</f>
        <v>Apparel</v>
      </c>
      <c r="E65" s="10" t="s">
        <v>316</v>
      </c>
      <c r="F65" s="16">
        <v>118</v>
      </c>
      <c r="G65" s="16">
        <v>118</v>
      </c>
      <c r="H65" s="12" t="s">
        <v>73</v>
      </c>
      <c r="I65" s="17">
        <v>0</v>
      </c>
      <c r="J65" s="10" t="s">
        <v>317</v>
      </c>
      <c r="K65" s="10" t="s">
        <v>423</v>
      </c>
      <c r="L65" s="10" t="s">
        <v>319</v>
      </c>
      <c r="M65" s="10" t="s">
        <v>432</v>
      </c>
      <c r="N65" s="10" t="s">
        <v>30</v>
      </c>
      <c r="O65" s="10" t="s">
        <v>226</v>
      </c>
      <c r="P65" s="14">
        <v>4.4000000000000004</v>
      </c>
      <c r="Q65" s="15">
        <v>219</v>
      </c>
      <c r="R65" s="12" t="s">
        <v>22</v>
      </c>
      <c r="S65" s="15">
        <v>11</v>
      </c>
      <c r="T65" s="10" t="s">
        <v>327</v>
      </c>
    </row>
    <row r="66" spans="1:20" s="8" customFormat="1" x14ac:dyDescent="0.25">
      <c r="A66" s="8" t="s">
        <v>320</v>
      </c>
      <c r="B66" s="9" t="s">
        <v>321</v>
      </c>
      <c r="C66" s="10" t="s">
        <v>322</v>
      </c>
      <c r="D66" s="10" t="str">
        <f>_xlfn.XLOOKUP(C66,'Lookup Table'!A:A,'Lookup Table'!B:B,"Not Found")</f>
        <v>Apparel</v>
      </c>
      <c r="E66" s="10" t="s">
        <v>418</v>
      </c>
      <c r="F66" s="16">
        <v>128</v>
      </c>
      <c r="G66" s="16">
        <v>128</v>
      </c>
      <c r="H66" s="12" t="s">
        <v>73</v>
      </c>
      <c r="I66" s="17">
        <v>0</v>
      </c>
      <c r="J66" s="10" t="s">
        <v>323</v>
      </c>
      <c r="K66" s="10" t="s">
        <v>324</v>
      </c>
      <c r="L66" s="10" t="s">
        <v>346</v>
      </c>
      <c r="M66" s="10" t="s">
        <v>432</v>
      </c>
      <c r="N66" s="10" t="s">
        <v>325</v>
      </c>
      <c r="O66" s="10" t="s">
        <v>75</v>
      </c>
      <c r="P66" s="14">
        <v>4.5</v>
      </c>
      <c r="Q66" s="15">
        <v>22</v>
      </c>
      <c r="R66" s="12" t="s">
        <v>22</v>
      </c>
      <c r="S66" s="15">
        <v>5</v>
      </c>
      <c r="T66" s="10" t="s">
        <v>326</v>
      </c>
    </row>
    <row r="67" spans="1:20" s="8" customFormat="1" x14ac:dyDescent="0.25">
      <c r="A67" s="8" t="s">
        <v>328</v>
      </c>
      <c r="B67" s="9" t="s">
        <v>329</v>
      </c>
      <c r="C67" s="10" t="s">
        <v>36</v>
      </c>
      <c r="D67" s="10" t="str">
        <f>_xlfn.XLOOKUP(C67,'Lookup Table'!A:A,'Lookup Table'!B:B,"Not Found")</f>
        <v>Apparel</v>
      </c>
      <c r="E67" s="10" t="s">
        <v>144</v>
      </c>
      <c r="F67" s="16">
        <v>58</v>
      </c>
      <c r="G67" s="16">
        <v>58</v>
      </c>
      <c r="H67" s="12" t="s">
        <v>73</v>
      </c>
      <c r="I67" s="17">
        <v>0</v>
      </c>
      <c r="J67" s="10" t="s">
        <v>330</v>
      </c>
      <c r="K67" s="10" t="s">
        <v>425</v>
      </c>
      <c r="L67" s="10" t="s">
        <v>347</v>
      </c>
      <c r="M67" s="10" t="s">
        <v>432</v>
      </c>
      <c r="N67" s="10" t="s">
        <v>30</v>
      </c>
      <c r="O67" s="10" t="s">
        <v>75</v>
      </c>
      <c r="P67" s="14">
        <v>4.2</v>
      </c>
      <c r="Q67" s="15">
        <v>232</v>
      </c>
      <c r="R67" s="12" t="s">
        <v>21</v>
      </c>
      <c r="S67" s="15">
        <v>17</v>
      </c>
      <c r="T67" s="10" t="s">
        <v>332</v>
      </c>
    </row>
    <row r="68" spans="1:20" s="8" customFormat="1" x14ac:dyDescent="0.25">
      <c r="A68" s="8" t="s">
        <v>334</v>
      </c>
      <c r="B68" s="9" t="s">
        <v>335</v>
      </c>
      <c r="C68" s="10" t="s">
        <v>25</v>
      </c>
      <c r="D68" s="10" t="str">
        <f>_xlfn.XLOOKUP(C68,'Lookup Table'!A:A,'Lookup Table'!B:B,"Not Found")</f>
        <v>Apparel</v>
      </c>
      <c r="E68" s="10" t="s">
        <v>206</v>
      </c>
      <c r="F68" s="16">
        <v>88</v>
      </c>
      <c r="G68" s="16">
        <v>88</v>
      </c>
      <c r="H68" s="12" t="s">
        <v>73</v>
      </c>
      <c r="I68" s="17">
        <v>0</v>
      </c>
      <c r="J68" s="10" t="s">
        <v>336</v>
      </c>
      <c r="K68" s="10" t="s">
        <v>424</v>
      </c>
      <c r="L68" s="10" t="s">
        <v>96</v>
      </c>
      <c r="M68" s="10" t="s">
        <v>105</v>
      </c>
      <c r="N68" s="10" t="s">
        <v>30</v>
      </c>
      <c r="O68" s="10" t="s">
        <v>75</v>
      </c>
      <c r="P68" s="14">
        <v>4.7</v>
      </c>
      <c r="Q68" s="15">
        <v>151</v>
      </c>
      <c r="R68" s="12" t="s">
        <v>21</v>
      </c>
      <c r="S68" s="15">
        <v>9</v>
      </c>
      <c r="T68" s="10" t="s">
        <v>208</v>
      </c>
    </row>
    <row r="69" spans="1:20" s="8" customFormat="1" x14ac:dyDescent="0.25">
      <c r="A69" s="8" t="s">
        <v>371</v>
      </c>
      <c r="B69" s="9" t="s">
        <v>372</v>
      </c>
      <c r="C69" s="10" t="s">
        <v>36</v>
      </c>
      <c r="D69" s="10" t="str">
        <f>_xlfn.XLOOKUP(C69,'Lookup Table'!A:A,'Lookup Table'!B:B,"Not Found")</f>
        <v>Apparel</v>
      </c>
      <c r="E69" s="10" t="s">
        <v>40</v>
      </c>
      <c r="F69" s="16">
        <v>38</v>
      </c>
      <c r="G69" s="16">
        <v>38</v>
      </c>
      <c r="H69" s="12" t="s">
        <v>73</v>
      </c>
      <c r="I69" s="17">
        <v>0</v>
      </c>
      <c r="J69" s="10" t="s">
        <v>373</v>
      </c>
      <c r="K69" s="10" t="s">
        <v>424</v>
      </c>
      <c r="L69" s="10" t="s">
        <v>347</v>
      </c>
      <c r="M69" s="10" t="s">
        <v>432</v>
      </c>
      <c r="N69" s="10" t="s">
        <v>30</v>
      </c>
      <c r="O69" s="10" t="s">
        <v>75</v>
      </c>
      <c r="P69" s="14">
        <v>4.3</v>
      </c>
      <c r="Q69" s="15">
        <v>173</v>
      </c>
      <c r="R69" s="12" t="s">
        <v>21</v>
      </c>
      <c r="S69" s="15">
        <v>19</v>
      </c>
      <c r="T69" s="10" t="s">
        <v>374</v>
      </c>
    </row>
    <row r="70" spans="1:20" s="8" customFormat="1" x14ac:dyDescent="0.25">
      <c r="A70" s="8" t="s">
        <v>375</v>
      </c>
      <c r="B70" s="9" t="s">
        <v>379</v>
      </c>
      <c r="C70" s="10" t="s">
        <v>25</v>
      </c>
      <c r="D70" s="10" t="str">
        <f>_xlfn.XLOOKUP(C70,'Lookup Table'!A:A,'Lookup Table'!B:B,"Not Found")</f>
        <v>Apparel</v>
      </c>
      <c r="E70" s="10" t="s">
        <v>414</v>
      </c>
      <c r="F70" s="16">
        <v>138</v>
      </c>
      <c r="G70" s="16">
        <v>138</v>
      </c>
      <c r="H70" s="12" t="s">
        <v>73</v>
      </c>
      <c r="I70" s="17">
        <v>0</v>
      </c>
      <c r="J70" s="10" t="s">
        <v>376</v>
      </c>
      <c r="K70" s="10" t="s">
        <v>265</v>
      </c>
      <c r="L70" s="10" t="s">
        <v>96</v>
      </c>
      <c r="M70" s="10" t="s">
        <v>105</v>
      </c>
      <c r="N70" s="10" t="s">
        <v>30</v>
      </c>
      <c r="O70" s="10" t="s">
        <v>75</v>
      </c>
      <c r="P70" s="14">
        <v>4.5</v>
      </c>
      <c r="Q70" s="15">
        <v>501</v>
      </c>
      <c r="R70" s="12" t="s">
        <v>21</v>
      </c>
      <c r="S70" s="15">
        <v>9</v>
      </c>
      <c r="T70" s="10" t="s">
        <v>208</v>
      </c>
    </row>
    <row r="71" spans="1:20" s="8" customFormat="1" x14ac:dyDescent="0.25">
      <c r="A71" s="8" t="s">
        <v>377</v>
      </c>
      <c r="B71" s="9" t="s">
        <v>378</v>
      </c>
      <c r="C71" s="10" t="s">
        <v>25</v>
      </c>
      <c r="D71" s="10" t="str">
        <f>_xlfn.XLOOKUP(C71,'Lookup Table'!A:A,'Lookup Table'!B:B,"Not Found")</f>
        <v>Apparel</v>
      </c>
      <c r="E71" s="10" t="s">
        <v>206</v>
      </c>
      <c r="F71" s="16">
        <v>128</v>
      </c>
      <c r="G71" s="16">
        <v>128</v>
      </c>
      <c r="H71" s="12" t="s">
        <v>73</v>
      </c>
      <c r="I71" s="17">
        <v>0</v>
      </c>
      <c r="J71" s="10" t="s">
        <v>380</v>
      </c>
      <c r="K71" s="10" t="s">
        <v>265</v>
      </c>
      <c r="L71" s="10" t="s">
        <v>96</v>
      </c>
      <c r="M71" s="10" t="s">
        <v>105</v>
      </c>
      <c r="N71" s="10" t="s">
        <v>30</v>
      </c>
      <c r="O71" s="10" t="s">
        <v>75</v>
      </c>
      <c r="P71" s="14">
        <v>4.4000000000000004</v>
      </c>
      <c r="Q71" s="15">
        <v>110</v>
      </c>
      <c r="R71" s="12" t="s">
        <v>21</v>
      </c>
      <c r="S71" s="15">
        <v>9</v>
      </c>
      <c r="T71" s="10" t="s">
        <v>208</v>
      </c>
    </row>
    <row r="72" spans="1:20" s="8" customFormat="1" x14ac:dyDescent="0.25">
      <c r="A72" s="8" t="s">
        <v>382</v>
      </c>
      <c r="B72" s="9" t="s">
        <v>383</v>
      </c>
      <c r="C72" s="10" t="s">
        <v>118</v>
      </c>
      <c r="D72" s="10" t="str">
        <f>_xlfn.XLOOKUP(C72,'Lookup Table'!A:A,'Lookup Table'!B:B,"Not Found")</f>
        <v>Apparel</v>
      </c>
      <c r="E72" s="10" t="s">
        <v>119</v>
      </c>
      <c r="F72" s="16">
        <v>128</v>
      </c>
      <c r="G72" s="16">
        <v>128</v>
      </c>
      <c r="H72" s="12" t="s">
        <v>73</v>
      </c>
      <c r="I72" s="17">
        <v>0</v>
      </c>
      <c r="J72" s="10" t="s">
        <v>384</v>
      </c>
      <c r="K72" s="10" t="s">
        <v>265</v>
      </c>
      <c r="L72" s="10" t="s">
        <v>96</v>
      </c>
      <c r="M72" s="10" t="s">
        <v>105</v>
      </c>
      <c r="N72" s="10" t="s">
        <v>30</v>
      </c>
      <c r="O72" s="10" t="s">
        <v>75</v>
      </c>
      <c r="P72" s="14">
        <v>4.4000000000000004</v>
      </c>
      <c r="Q72" s="15">
        <v>131</v>
      </c>
      <c r="R72" s="12" t="s">
        <v>21</v>
      </c>
      <c r="S72" s="15">
        <v>6</v>
      </c>
      <c r="T72" s="10" t="s">
        <v>208</v>
      </c>
    </row>
    <row r="73" spans="1:20" s="8" customFormat="1" x14ac:dyDescent="0.25">
      <c r="A73" s="8" t="s">
        <v>385</v>
      </c>
      <c r="B73" s="9" t="s">
        <v>386</v>
      </c>
      <c r="C73" s="10" t="s">
        <v>72</v>
      </c>
      <c r="D73" s="10" t="str">
        <f>_xlfn.XLOOKUP(C73,'Lookup Table'!A:A,'Lookup Table'!B:B,"Not Found")</f>
        <v>Apparel</v>
      </c>
      <c r="E73" s="10" t="s">
        <v>387</v>
      </c>
      <c r="F73" s="16">
        <v>38</v>
      </c>
      <c r="G73" s="16">
        <v>38</v>
      </c>
      <c r="H73" s="12" t="s">
        <v>73</v>
      </c>
      <c r="I73" s="17">
        <v>0</v>
      </c>
      <c r="J73" s="10" t="s">
        <v>388</v>
      </c>
      <c r="K73" s="10" t="s">
        <v>427</v>
      </c>
      <c r="L73" s="10" t="s">
        <v>390</v>
      </c>
      <c r="M73" s="10" t="s">
        <v>106</v>
      </c>
      <c r="N73" s="10" t="s">
        <v>389</v>
      </c>
      <c r="O73" s="10" t="s">
        <v>72</v>
      </c>
      <c r="P73" s="14">
        <v>4.0999999999999996</v>
      </c>
      <c r="Q73" s="15">
        <v>30</v>
      </c>
      <c r="R73" s="12" t="s">
        <v>22</v>
      </c>
      <c r="S73" s="15">
        <v>7</v>
      </c>
      <c r="T73" s="10" t="s">
        <v>391</v>
      </c>
    </row>
    <row r="74" spans="1:20" s="8" customFormat="1" x14ac:dyDescent="0.25">
      <c r="A74" s="8" t="s">
        <v>392</v>
      </c>
      <c r="B74" s="9" t="s">
        <v>393</v>
      </c>
      <c r="C74" s="10" t="s">
        <v>25</v>
      </c>
      <c r="D74" s="10" t="str">
        <f>_xlfn.XLOOKUP(C74,'Lookup Table'!A:A,'Lookup Table'!B:B,"Not Found")</f>
        <v>Apparel</v>
      </c>
      <c r="E74" s="10" t="s">
        <v>52</v>
      </c>
      <c r="F74" s="16">
        <v>148</v>
      </c>
      <c r="G74" s="16">
        <v>148</v>
      </c>
      <c r="H74" s="12" t="s">
        <v>73</v>
      </c>
      <c r="I74" s="17">
        <v>0</v>
      </c>
      <c r="J74" s="10" t="s">
        <v>394</v>
      </c>
      <c r="K74" s="10" t="s">
        <v>254</v>
      </c>
      <c r="L74" s="10" t="s">
        <v>96</v>
      </c>
      <c r="M74" s="10" t="s">
        <v>105</v>
      </c>
      <c r="N74" s="10" t="s">
        <v>396</v>
      </c>
      <c r="O74" s="10" t="s">
        <v>75</v>
      </c>
      <c r="P74" s="14">
        <v>4.4000000000000004</v>
      </c>
      <c r="Q74" s="15">
        <v>778</v>
      </c>
      <c r="R74" s="12" t="s">
        <v>22</v>
      </c>
      <c r="S74" s="15">
        <v>13</v>
      </c>
      <c r="T74" s="10" t="s">
        <v>406</v>
      </c>
    </row>
    <row r="75" spans="1:20" s="8" customFormat="1" x14ac:dyDescent="0.25">
      <c r="A75" s="8" t="s">
        <v>397</v>
      </c>
      <c r="B75" s="9" t="s">
        <v>398</v>
      </c>
      <c r="C75" s="10" t="s">
        <v>110</v>
      </c>
      <c r="D75" s="10" t="str">
        <f>_xlfn.XLOOKUP(C75,'Lookup Table'!A:A,'Lookup Table'!B:B,"Not Found")</f>
        <v>Footwear</v>
      </c>
      <c r="E75" s="10" t="s">
        <v>264</v>
      </c>
      <c r="F75" s="16">
        <v>120</v>
      </c>
      <c r="G75" s="16">
        <v>120</v>
      </c>
      <c r="H75" s="12" t="s">
        <v>73</v>
      </c>
      <c r="I75" s="17">
        <v>0</v>
      </c>
      <c r="J75" s="10" t="s">
        <v>399</v>
      </c>
      <c r="K75" s="10" t="s">
        <v>324</v>
      </c>
      <c r="L75" s="10" t="s">
        <v>400</v>
      </c>
      <c r="M75" s="10" t="s">
        <v>432</v>
      </c>
      <c r="N75" s="10" t="s">
        <v>30</v>
      </c>
      <c r="O75" s="10" t="s">
        <v>75</v>
      </c>
      <c r="P75" s="14">
        <v>4.3</v>
      </c>
      <c r="Q75" s="15">
        <v>114</v>
      </c>
      <c r="R75" s="12" t="s">
        <v>22</v>
      </c>
      <c r="S75" s="15">
        <v>19</v>
      </c>
      <c r="T75" s="10" t="s">
        <v>401</v>
      </c>
    </row>
    <row r="76" spans="1:20" x14ac:dyDescent="0.25">
      <c r="A76" s="8" t="s">
        <v>402</v>
      </c>
      <c r="B76" s="9" t="s">
        <v>403</v>
      </c>
      <c r="C76" s="29" t="s">
        <v>25</v>
      </c>
      <c r="D76" s="10" t="str">
        <f>_xlfn.XLOOKUP(C76,'Lookup Table'!A:A,'Lookup Table'!B:B,"Not Found")</f>
        <v>Apparel</v>
      </c>
      <c r="E76" s="10" t="s">
        <v>52</v>
      </c>
      <c r="F76" s="16">
        <v>98</v>
      </c>
      <c r="G76" s="16">
        <v>98</v>
      </c>
      <c r="H76" s="12" t="s">
        <v>73</v>
      </c>
      <c r="I76" s="17">
        <v>0</v>
      </c>
      <c r="J76" s="10" t="s">
        <v>404</v>
      </c>
      <c r="K76" s="10" t="s">
        <v>428</v>
      </c>
      <c r="L76" s="10" t="s">
        <v>405</v>
      </c>
      <c r="M76" s="10" t="s">
        <v>432</v>
      </c>
      <c r="N76" s="10" t="s">
        <v>30</v>
      </c>
      <c r="O76" s="10" t="s">
        <v>75</v>
      </c>
      <c r="P76" s="14">
        <v>4.3</v>
      </c>
      <c r="Q76" s="15">
        <v>233</v>
      </c>
      <c r="R76" s="12" t="s">
        <v>22</v>
      </c>
      <c r="S76" s="15">
        <v>9</v>
      </c>
      <c r="T76" s="10" t="s">
        <v>407</v>
      </c>
    </row>
    <row r="77" spans="1:20" x14ac:dyDescent="0.25">
      <c r="A77" s="8" t="s">
        <v>408</v>
      </c>
      <c r="B77" s="9" t="s">
        <v>411</v>
      </c>
      <c r="C77" s="29" t="s">
        <v>25</v>
      </c>
      <c r="D77" s="10" t="str">
        <f>_xlfn.XLOOKUP(C77,'Lookup Table'!A:A,'Lookup Table'!B:B,"Not Found")</f>
        <v>Apparel</v>
      </c>
      <c r="E77" s="29" t="s">
        <v>414</v>
      </c>
      <c r="F77" s="16">
        <v>168</v>
      </c>
      <c r="G77" s="16">
        <v>168</v>
      </c>
      <c r="H77" s="12" t="s">
        <v>73</v>
      </c>
      <c r="I77" s="17">
        <v>0</v>
      </c>
      <c r="J77" s="10" t="s">
        <v>409</v>
      </c>
      <c r="K77" s="10" t="s">
        <v>423</v>
      </c>
      <c r="L77" s="10" t="s">
        <v>412</v>
      </c>
      <c r="M77" s="10" t="s">
        <v>106</v>
      </c>
      <c r="N77" s="10" t="s">
        <v>30</v>
      </c>
      <c r="O77" s="10" t="s">
        <v>75</v>
      </c>
      <c r="P77" s="14">
        <v>4.3</v>
      </c>
      <c r="Q77" s="15">
        <v>47</v>
      </c>
      <c r="R77" s="12" t="s">
        <v>22</v>
      </c>
      <c r="S77" s="15">
        <v>5</v>
      </c>
      <c r="T77" s="10" t="s">
        <v>413</v>
      </c>
    </row>
    <row r="78" spans="1:20" x14ac:dyDescent="0.25">
      <c r="F78" s="16"/>
      <c r="G78" s="16"/>
      <c r="H78" s="12"/>
      <c r="I78" s="17"/>
      <c r="J78" s="10"/>
      <c r="K78" s="10"/>
      <c r="L78" s="10"/>
      <c r="N78" s="10"/>
      <c r="O78" s="10"/>
      <c r="P78" s="14"/>
      <c r="Q78" s="15"/>
      <c r="R78" s="12"/>
      <c r="S78" s="15"/>
      <c r="T78" s="10"/>
    </row>
    <row r="79" spans="1:20" x14ac:dyDescent="0.25">
      <c r="F79" s="16"/>
      <c r="G79" s="16"/>
      <c r="H79" s="12"/>
      <c r="J79" s="10"/>
      <c r="K79" s="10"/>
      <c r="L79" s="10"/>
      <c r="N79" s="10"/>
      <c r="O79" s="10"/>
      <c r="P79" s="14"/>
      <c r="Q79" s="15"/>
      <c r="R79" s="12"/>
      <c r="S79" s="15"/>
      <c r="T79" s="10"/>
    </row>
    <row r="80" spans="1:20" x14ac:dyDescent="0.25">
      <c r="G80" s="16"/>
      <c r="H80" s="12"/>
      <c r="J80" s="10"/>
      <c r="K80" s="10"/>
      <c r="L80" s="10"/>
      <c r="N80" s="10"/>
      <c r="O80" s="10"/>
      <c r="P80" s="14"/>
      <c r="Q80" s="15"/>
      <c r="R80" s="12"/>
      <c r="S80" s="15"/>
      <c r="T80" s="10"/>
    </row>
    <row r="81" spans="7:20" x14ac:dyDescent="0.25">
      <c r="G81" s="16"/>
      <c r="J81" s="10"/>
      <c r="K81" s="10"/>
      <c r="L81" s="10"/>
      <c r="N81" s="10"/>
      <c r="O81" s="10"/>
      <c r="P81" s="14"/>
      <c r="Q81" s="15"/>
      <c r="R81" s="12"/>
      <c r="S81" s="15"/>
      <c r="T81" s="10"/>
    </row>
    <row r="82" spans="7:20" x14ac:dyDescent="0.25">
      <c r="N82" s="10"/>
      <c r="O82" s="10"/>
      <c r="P82" s="14"/>
      <c r="Q82" s="15"/>
      <c r="R82" s="12"/>
      <c r="S82" s="15"/>
      <c r="T82" s="10"/>
    </row>
    <row r="83" spans="7:20" x14ac:dyDescent="0.25">
      <c r="N83" s="10"/>
      <c r="O83" s="10"/>
      <c r="P83" s="14"/>
      <c r="Q83" s="15"/>
      <c r="R83" s="12"/>
      <c r="S83" s="15"/>
      <c r="T83" s="10"/>
    </row>
    <row r="84" spans="7:20" x14ac:dyDescent="0.25">
      <c r="N84" s="10"/>
      <c r="O84" s="10"/>
      <c r="P84" s="14"/>
      <c r="Q84" s="15"/>
      <c r="R84" s="12"/>
      <c r="S84" s="15"/>
      <c r="T84" s="10"/>
    </row>
    <row r="85" spans="7:20" x14ac:dyDescent="0.25">
      <c r="N85" s="10"/>
      <c r="O85" s="10"/>
      <c r="P85" s="14"/>
      <c r="Q85" s="15"/>
      <c r="R85" s="12"/>
      <c r="S85" s="15"/>
      <c r="T85" s="10"/>
    </row>
    <row r="86" spans="7:20" x14ac:dyDescent="0.25">
      <c r="N86" s="10"/>
      <c r="O86" s="10"/>
      <c r="P86" s="14"/>
      <c r="Q86" s="15"/>
      <c r="R86" s="12"/>
      <c r="S86" s="15"/>
      <c r="T86" s="10"/>
    </row>
    <row r="87" spans="7:20" x14ac:dyDescent="0.25">
      <c r="N87" s="10"/>
      <c r="O87" s="10"/>
      <c r="P87" s="14"/>
      <c r="Q87" s="15"/>
      <c r="R87" s="12"/>
      <c r="S87" s="15"/>
      <c r="T87" s="10"/>
    </row>
    <row r="88" spans="7:20" x14ac:dyDescent="0.25">
      <c r="N88" s="10"/>
      <c r="O88" s="10"/>
      <c r="P88" s="14"/>
      <c r="Q88" s="15"/>
      <c r="R88" s="12"/>
      <c r="S88" s="15"/>
      <c r="T88" s="10"/>
    </row>
    <row r="89" spans="7:20" x14ac:dyDescent="0.25">
      <c r="N89" s="10"/>
      <c r="O89" s="10"/>
      <c r="P89" s="14"/>
      <c r="Q89" s="15"/>
      <c r="R89" s="12"/>
      <c r="S89" s="15"/>
      <c r="T89" s="10"/>
    </row>
    <row r="90" spans="7:20" x14ac:dyDescent="0.25">
      <c r="N90" s="10"/>
      <c r="O90" s="10"/>
      <c r="P90" s="14"/>
      <c r="Q90" s="15"/>
      <c r="R90" s="12"/>
      <c r="S90" s="15"/>
      <c r="T90" s="10"/>
    </row>
    <row r="91" spans="7:20" x14ac:dyDescent="0.25">
      <c r="N91" s="10"/>
      <c r="O91" s="10"/>
      <c r="P91" s="14"/>
      <c r="Q91" s="15"/>
      <c r="R91" s="12"/>
      <c r="S91" s="15"/>
      <c r="T91" s="10"/>
    </row>
    <row r="92" spans="7:20" x14ac:dyDescent="0.25">
      <c r="N92" s="10"/>
      <c r="O92" s="10"/>
      <c r="P92" s="14"/>
      <c r="Q92" s="15"/>
      <c r="R92" s="12"/>
      <c r="S92" s="15"/>
      <c r="T92" s="10"/>
    </row>
    <row r="93" spans="7:20" x14ac:dyDescent="0.25">
      <c r="N93" s="10"/>
      <c r="O93" s="10"/>
      <c r="P93" s="14"/>
      <c r="Q93" s="15"/>
      <c r="R93" s="12"/>
      <c r="S93" s="15"/>
      <c r="T93" s="10"/>
    </row>
    <row r="94" spans="7:20" x14ac:dyDescent="0.25">
      <c r="N94" s="10"/>
      <c r="O94" s="10"/>
      <c r="P94" s="14"/>
      <c r="Q94" s="15"/>
      <c r="R94" s="12"/>
      <c r="S94" s="15"/>
      <c r="T94" s="10"/>
    </row>
  </sheetData>
  <mergeCells count="1">
    <mergeCell ref="A1:T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ADDD8-FCDC-4BF6-B90B-4F6D7E312495}">
  <dimension ref="A1:D117"/>
  <sheetViews>
    <sheetView topLeftCell="B79" zoomScaleNormal="82" workbookViewId="0">
      <selection activeCell="C31" sqref="C31"/>
    </sheetView>
  </sheetViews>
  <sheetFormatPr defaultRowHeight="15" x14ac:dyDescent="0.25"/>
  <cols>
    <col min="1" max="1" width="20.5703125" customWidth="1"/>
    <col min="2" max="2" width="32.7109375" customWidth="1"/>
  </cols>
  <sheetData>
    <row r="1" spans="1:4" ht="20.25" customHeight="1" x14ac:dyDescent="0.3">
      <c r="A1" s="83" t="s">
        <v>451</v>
      </c>
      <c r="B1" s="83"/>
      <c r="C1" s="60"/>
      <c r="D1" s="60"/>
    </row>
    <row r="2" spans="1:4" ht="20.25" customHeight="1" x14ac:dyDescent="0.3">
      <c r="A2" s="85"/>
      <c r="B2" s="85"/>
      <c r="C2" s="60"/>
      <c r="D2" s="60"/>
    </row>
    <row r="3" spans="1:4" ht="15.75" x14ac:dyDescent="0.25">
      <c r="A3" s="64" t="s">
        <v>1</v>
      </c>
      <c r="B3" s="8" t="s">
        <v>436</v>
      </c>
    </row>
    <row r="4" spans="1:4" ht="15.75" x14ac:dyDescent="0.25">
      <c r="A4" s="10" t="s">
        <v>25</v>
      </c>
      <c r="B4" s="8">
        <v>24</v>
      </c>
    </row>
    <row r="5" spans="1:4" ht="15.75" x14ac:dyDescent="0.25">
      <c r="A5" s="10" t="s">
        <v>78</v>
      </c>
      <c r="B5" s="8">
        <v>15</v>
      </c>
    </row>
    <row r="6" spans="1:4" ht="15.75" x14ac:dyDescent="0.25">
      <c r="A6" s="10" t="s">
        <v>36</v>
      </c>
      <c r="B6" s="8">
        <v>11</v>
      </c>
    </row>
    <row r="7" spans="1:4" ht="15.75" x14ac:dyDescent="0.25">
      <c r="A7" s="10" t="s">
        <v>118</v>
      </c>
      <c r="B7" s="8">
        <v>7</v>
      </c>
    </row>
    <row r="8" spans="1:4" ht="15.75" x14ac:dyDescent="0.25">
      <c r="A8" s="10" t="s">
        <v>110</v>
      </c>
      <c r="B8" s="8">
        <v>6</v>
      </c>
    </row>
    <row r="9" spans="1:4" ht="15.75" x14ac:dyDescent="0.25">
      <c r="A9" s="10" t="s">
        <v>98</v>
      </c>
      <c r="B9" s="8">
        <v>6</v>
      </c>
    </row>
    <row r="10" spans="1:4" ht="15.75" x14ac:dyDescent="0.25">
      <c r="A10" s="10" t="s">
        <v>52</v>
      </c>
      <c r="B10" s="8">
        <v>2</v>
      </c>
    </row>
    <row r="11" spans="1:4" ht="15.75" x14ac:dyDescent="0.25">
      <c r="A11" s="10" t="s">
        <v>322</v>
      </c>
      <c r="B11" s="8">
        <v>1</v>
      </c>
    </row>
    <row r="12" spans="1:4" ht="15.75" x14ac:dyDescent="0.25">
      <c r="A12" s="10" t="s">
        <v>72</v>
      </c>
      <c r="B12" s="8">
        <v>1</v>
      </c>
    </row>
    <row r="13" spans="1:4" ht="15.75" x14ac:dyDescent="0.25">
      <c r="A13" s="10" t="s">
        <v>314</v>
      </c>
      <c r="B13" s="8">
        <v>1</v>
      </c>
    </row>
    <row r="14" spans="1:4" ht="15.75" x14ac:dyDescent="0.25">
      <c r="A14" s="10" t="s">
        <v>315</v>
      </c>
      <c r="B14" s="8">
        <v>1</v>
      </c>
    </row>
    <row r="15" spans="1:4" ht="15.75" x14ac:dyDescent="0.25">
      <c r="A15" s="10" t="s">
        <v>435</v>
      </c>
      <c r="B15" s="8">
        <v>75</v>
      </c>
    </row>
    <row r="18" spans="1:3" ht="20.25" x14ac:dyDescent="0.3">
      <c r="A18" s="59"/>
    </row>
    <row r="20" spans="1:3" ht="20.25" x14ac:dyDescent="0.3">
      <c r="A20" s="83" t="s">
        <v>450</v>
      </c>
      <c r="B20" s="83"/>
      <c r="C20" s="29"/>
    </row>
    <row r="21" spans="1:3" ht="20.25" x14ac:dyDescent="0.3">
      <c r="A21" s="85"/>
      <c r="B21" s="85"/>
    </row>
    <row r="22" spans="1:3" ht="15.75" x14ac:dyDescent="0.25">
      <c r="A22" s="62" t="s">
        <v>8</v>
      </c>
      <c r="B22" s="62" t="s">
        <v>436</v>
      </c>
    </row>
    <row r="23" spans="1:3" ht="15.75" x14ac:dyDescent="0.25">
      <c r="A23" s="10" t="s">
        <v>426</v>
      </c>
      <c r="B23" s="8">
        <v>18</v>
      </c>
    </row>
    <row r="24" spans="1:3" ht="15.75" x14ac:dyDescent="0.25">
      <c r="A24" s="10" t="s">
        <v>254</v>
      </c>
      <c r="B24" s="8">
        <v>12</v>
      </c>
    </row>
    <row r="25" spans="1:3" ht="15.75" x14ac:dyDescent="0.25">
      <c r="A25" s="10" t="s">
        <v>428</v>
      </c>
      <c r="B25" s="8">
        <v>8</v>
      </c>
    </row>
    <row r="26" spans="1:3" ht="15.75" x14ac:dyDescent="0.25">
      <c r="A26" s="10" t="s">
        <v>265</v>
      </c>
      <c r="B26" s="8">
        <v>8</v>
      </c>
    </row>
    <row r="27" spans="1:3" ht="15.75" x14ac:dyDescent="0.25">
      <c r="A27" s="10" t="s">
        <v>427</v>
      </c>
      <c r="B27" s="8">
        <v>5</v>
      </c>
    </row>
    <row r="28" spans="1:3" ht="15.75" x14ac:dyDescent="0.25">
      <c r="A28" s="10" t="s">
        <v>245</v>
      </c>
      <c r="B28" s="8">
        <v>5</v>
      </c>
    </row>
    <row r="29" spans="1:3" ht="15.75" x14ac:dyDescent="0.25">
      <c r="A29" s="10" t="s">
        <v>55</v>
      </c>
      <c r="B29" s="8">
        <v>4</v>
      </c>
    </row>
    <row r="30" spans="1:3" ht="15.75" x14ac:dyDescent="0.25">
      <c r="A30" s="10" t="s">
        <v>424</v>
      </c>
      <c r="B30" s="8">
        <v>4</v>
      </c>
    </row>
    <row r="31" spans="1:3" ht="15.75" x14ac:dyDescent="0.25">
      <c r="A31" s="10" t="s">
        <v>430</v>
      </c>
      <c r="B31" s="8">
        <v>3</v>
      </c>
    </row>
    <row r="32" spans="1:3" ht="15.75" x14ac:dyDescent="0.25">
      <c r="A32" s="10" t="s">
        <v>423</v>
      </c>
      <c r="B32" s="8">
        <v>2</v>
      </c>
    </row>
    <row r="33" spans="1:2" ht="15.75" x14ac:dyDescent="0.25">
      <c r="A33" s="10" t="s">
        <v>429</v>
      </c>
      <c r="B33" s="8">
        <v>2</v>
      </c>
    </row>
    <row r="34" spans="1:2" ht="15.75" x14ac:dyDescent="0.25">
      <c r="A34" s="10" t="s">
        <v>425</v>
      </c>
      <c r="B34" s="8">
        <v>2</v>
      </c>
    </row>
    <row r="35" spans="1:2" ht="15.75" x14ac:dyDescent="0.25">
      <c r="A35" s="10" t="s">
        <v>324</v>
      </c>
      <c r="B35" s="8">
        <v>2</v>
      </c>
    </row>
    <row r="36" spans="1:2" ht="15.75" x14ac:dyDescent="0.25">
      <c r="A36" s="63" t="s">
        <v>435</v>
      </c>
      <c r="B36" s="62">
        <v>75</v>
      </c>
    </row>
    <row r="37" spans="1:2" ht="15.75" x14ac:dyDescent="0.25">
      <c r="A37" s="65"/>
      <c r="B37" s="65"/>
    </row>
    <row r="42" spans="1:2" ht="20.25" x14ac:dyDescent="0.3">
      <c r="A42" s="83" t="s">
        <v>452</v>
      </c>
      <c r="B42" s="86"/>
    </row>
    <row r="43" spans="1:2" ht="20.25" x14ac:dyDescent="0.3">
      <c r="A43" s="90"/>
      <c r="B43" s="90"/>
    </row>
    <row r="44" spans="1:2" ht="15.75" x14ac:dyDescent="0.25">
      <c r="A44" s="62" t="s">
        <v>103</v>
      </c>
      <c r="B44" s="62" t="s">
        <v>436</v>
      </c>
    </row>
    <row r="45" spans="1:2" ht="15.75" x14ac:dyDescent="0.25">
      <c r="A45" s="10" t="s">
        <v>105</v>
      </c>
      <c r="B45" s="8">
        <v>41</v>
      </c>
    </row>
    <row r="46" spans="1:2" ht="15.75" x14ac:dyDescent="0.25">
      <c r="A46" s="10" t="s">
        <v>432</v>
      </c>
      <c r="B46" s="8">
        <v>27</v>
      </c>
    </row>
    <row r="47" spans="1:2" ht="15.75" x14ac:dyDescent="0.25">
      <c r="A47" s="10" t="s">
        <v>106</v>
      </c>
      <c r="B47" s="8">
        <v>7</v>
      </c>
    </row>
    <row r="48" spans="1:2" ht="15.75" x14ac:dyDescent="0.25">
      <c r="A48" s="63" t="s">
        <v>435</v>
      </c>
      <c r="B48" s="62">
        <v>75</v>
      </c>
    </row>
    <row r="55" spans="1:2" ht="20.25" x14ac:dyDescent="0.3">
      <c r="A55" s="83" t="s">
        <v>453</v>
      </c>
      <c r="B55" s="88"/>
    </row>
    <row r="56" spans="1:2" x14ac:dyDescent="0.25">
      <c r="A56" s="89"/>
      <c r="B56" s="89"/>
    </row>
    <row r="57" spans="1:2" ht="15.75" x14ac:dyDescent="0.25">
      <c r="A57" s="62" t="s">
        <v>1</v>
      </c>
      <c r="B57" s="62" t="s">
        <v>454</v>
      </c>
    </row>
    <row r="58" spans="1:2" ht="15.75" x14ac:dyDescent="0.25">
      <c r="A58" s="10" t="s">
        <v>110</v>
      </c>
      <c r="B58" s="66">
        <v>214.33333333333334</v>
      </c>
    </row>
    <row r="59" spans="1:2" ht="15.75" x14ac:dyDescent="0.25">
      <c r="A59" s="10" t="s">
        <v>118</v>
      </c>
      <c r="B59" s="66">
        <v>169.42857142857142</v>
      </c>
    </row>
    <row r="60" spans="1:2" ht="15.75" x14ac:dyDescent="0.25">
      <c r="A60" s="10" t="s">
        <v>322</v>
      </c>
      <c r="B60" s="66">
        <v>128</v>
      </c>
    </row>
    <row r="61" spans="1:2" ht="15.75" x14ac:dyDescent="0.25">
      <c r="A61" s="10" t="s">
        <v>25</v>
      </c>
      <c r="B61" s="66">
        <v>120.91666666666667</v>
      </c>
    </row>
    <row r="62" spans="1:2" ht="15.75" x14ac:dyDescent="0.25">
      <c r="A62" s="10" t="s">
        <v>314</v>
      </c>
      <c r="B62" s="66">
        <v>118</v>
      </c>
    </row>
    <row r="63" spans="1:2" ht="15.75" x14ac:dyDescent="0.25">
      <c r="A63" s="10" t="s">
        <v>52</v>
      </c>
      <c r="B63" s="66">
        <v>118</v>
      </c>
    </row>
    <row r="64" spans="1:2" ht="15.75" x14ac:dyDescent="0.25">
      <c r="A64" s="10" t="s">
        <v>98</v>
      </c>
      <c r="B64" s="66">
        <v>114.66666666666667</v>
      </c>
    </row>
    <row r="65" spans="1:3" ht="15.75" x14ac:dyDescent="0.25">
      <c r="A65" s="10" t="s">
        <v>78</v>
      </c>
      <c r="B65" s="66">
        <v>111.13333333333334</v>
      </c>
    </row>
    <row r="66" spans="1:3" ht="15.75" x14ac:dyDescent="0.25">
      <c r="A66" s="10" t="s">
        <v>315</v>
      </c>
      <c r="B66" s="66">
        <v>98</v>
      </c>
    </row>
    <row r="67" spans="1:3" ht="15.75" x14ac:dyDescent="0.25">
      <c r="A67" s="10" t="s">
        <v>36</v>
      </c>
      <c r="B67" s="66">
        <v>53.81818181818182</v>
      </c>
    </row>
    <row r="68" spans="1:3" ht="15.75" x14ac:dyDescent="0.25">
      <c r="A68" s="10" t="s">
        <v>72</v>
      </c>
      <c r="B68" s="66">
        <v>38</v>
      </c>
    </row>
    <row r="69" spans="1:3" ht="15.75" x14ac:dyDescent="0.25">
      <c r="A69" s="63" t="s">
        <v>435</v>
      </c>
      <c r="B69" s="67">
        <v>119.18666666666667</v>
      </c>
    </row>
    <row r="75" spans="1:3" ht="20.25" x14ac:dyDescent="0.3">
      <c r="A75" s="83" t="s">
        <v>455</v>
      </c>
      <c r="B75" s="91"/>
    </row>
    <row r="76" spans="1:3" x14ac:dyDescent="0.25">
      <c r="A76" s="89"/>
      <c r="B76" s="89"/>
    </row>
    <row r="77" spans="1:3" ht="15.75" x14ac:dyDescent="0.25">
      <c r="A77" s="62" t="s">
        <v>1</v>
      </c>
      <c r="B77" s="62" t="s">
        <v>458</v>
      </c>
      <c r="C77" s="61"/>
    </row>
    <row r="78" spans="1:3" ht="15.75" x14ac:dyDescent="0.25">
      <c r="A78" s="10" t="s">
        <v>322</v>
      </c>
      <c r="B78" s="68">
        <v>4.5</v>
      </c>
      <c r="C78" s="61"/>
    </row>
    <row r="79" spans="1:3" ht="15.75" x14ac:dyDescent="0.25">
      <c r="A79" s="10" t="s">
        <v>315</v>
      </c>
      <c r="B79" s="68">
        <v>4.5</v>
      </c>
      <c r="C79" s="61"/>
    </row>
    <row r="80" spans="1:3" ht="15.75" x14ac:dyDescent="0.25">
      <c r="A80" s="10" t="s">
        <v>314</v>
      </c>
      <c r="B80" s="68">
        <v>4.4000000000000004</v>
      </c>
      <c r="C80" s="61"/>
    </row>
    <row r="81" spans="1:3" ht="15.75" x14ac:dyDescent="0.25">
      <c r="A81" s="10" t="s">
        <v>118</v>
      </c>
      <c r="B81" s="68">
        <v>4.3428571428571425</v>
      </c>
      <c r="C81" s="61"/>
    </row>
    <row r="82" spans="1:3" ht="15.75" x14ac:dyDescent="0.25">
      <c r="A82" s="10" t="s">
        <v>25</v>
      </c>
      <c r="B82" s="68">
        <v>4.3166666666666673</v>
      </c>
      <c r="C82" s="61"/>
    </row>
    <row r="83" spans="1:3" ht="15.75" x14ac:dyDescent="0.25">
      <c r="A83" s="10" t="s">
        <v>98</v>
      </c>
      <c r="B83" s="68">
        <v>4.3</v>
      </c>
      <c r="C83" s="61"/>
    </row>
    <row r="84" spans="1:3" ht="15.75" x14ac:dyDescent="0.25">
      <c r="A84" s="10" t="s">
        <v>36</v>
      </c>
      <c r="B84" s="68">
        <v>4.3</v>
      </c>
      <c r="C84" s="61"/>
    </row>
    <row r="85" spans="1:3" ht="15.75" x14ac:dyDescent="0.25">
      <c r="A85" s="10" t="s">
        <v>52</v>
      </c>
      <c r="B85" s="68">
        <v>4.1999999999999993</v>
      </c>
      <c r="C85" s="61"/>
    </row>
    <row r="86" spans="1:3" ht="15.75" x14ac:dyDescent="0.25">
      <c r="A86" s="10" t="s">
        <v>78</v>
      </c>
      <c r="B86" s="68">
        <v>4.1133333333333342</v>
      </c>
      <c r="C86" s="61"/>
    </row>
    <row r="87" spans="1:3" ht="15.75" x14ac:dyDescent="0.25">
      <c r="A87" s="10" t="s">
        <v>72</v>
      </c>
      <c r="B87" s="68">
        <v>4.0999999999999996</v>
      </c>
      <c r="C87" s="61"/>
    </row>
    <row r="88" spans="1:3" ht="15.75" x14ac:dyDescent="0.25">
      <c r="A88" s="10" t="s">
        <v>110</v>
      </c>
      <c r="B88" s="68">
        <v>4.083333333333333</v>
      </c>
      <c r="C88" s="61"/>
    </row>
    <row r="89" spans="1:3" ht="15.75" x14ac:dyDescent="0.25">
      <c r="A89" s="63" t="s">
        <v>435</v>
      </c>
      <c r="B89" s="69">
        <v>4.2560000000000002</v>
      </c>
      <c r="C89" s="61"/>
    </row>
    <row r="93" spans="1:3" ht="20.25" x14ac:dyDescent="0.3">
      <c r="A93" s="83" t="s">
        <v>457</v>
      </c>
      <c r="B93" s="83"/>
    </row>
    <row r="94" spans="1:3" ht="15.75" x14ac:dyDescent="0.25">
      <c r="A94" s="87"/>
      <c r="B94" s="87"/>
    </row>
    <row r="95" spans="1:3" ht="15.75" x14ac:dyDescent="0.25">
      <c r="A95" s="62" t="s">
        <v>1</v>
      </c>
      <c r="B95" s="62" t="s">
        <v>456</v>
      </c>
    </row>
    <row r="96" spans="1:3" ht="15.75" x14ac:dyDescent="0.25">
      <c r="A96" s="10" t="s">
        <v>98</v>
      </c>
      <c r="B96" s="70">
        <v>311.5</v>
      </c>
    </row>
    <row r="97" spans="1:4" ht="15.75" x14ac:dyDescent="0.25">
      <c r="A97" s="10" t="s">
        <v>52</v>
      </c>
      <c r="B97" s="70">
        <v>244</v>
      </c>
    </row>
    <row r="98" spans="1:4" ht="15.75" x14ac:dyDescent="0.25">
      <c r="A98" s="10" t="s">
        <v>25</v>
      </c>
      <c r="B98" s="70">
        <v>233.29166666666666</v>
      </c>
    </row>
    <row r="99" spans="1:4" ht="15.75" x14ac:dyDescent="0.25">
      <c r="A99" s="10" t="s">
        <v>314</v>
      </c>
      <c r="B99" s="70">
        <v>219</v>
      </c>
    </row>
    <row r="100" spans="1:4" ht="15.75" x14ac:dyDescent="0.25">
      <c r="A100" s="10" t="s">
        <v>118</v>
      </c>
      <c r="B100" s="70">
        <v>217.14285714285714</v>
      </c>
    </row>
    <row r="101" spans="1:4" ht="15.75" x14ac:dyDescent="0.25">
      <c r="A101" s="10" t="s">
        <v>36</v>
      </c>
      <c r="B101" s="70">
        <v>175.72727272727272</v>
      </c>
    </row>
    <row r="102" spans="1:4" ht="15.75" x14ac:dyDescent="0.25">
      <c r="A102" s="10" t="s">
        <v>78</v>
      </c>
      <c r="B102" s="70">
        <v>119.73333333333333</v>
      </c>
    </row>
    <row r="103" spans="1:4" ht="15.75" x14ac:dyDescent="0.25">
      <c r="A103" s="10" t="s">
        <v>315</v>
      </c>
      <c r="B103" s="70">
        <v>97</v>
      </c>
      <c r="D103" t="s">
        <v>459</v>
      </c>
    </row>
    <row r="104" spans="1:4" ht="15.75" x14ac:dyDescent="0.25">
      <c r="A104" s="10" t="s">
        <v>110</v>
      </c>
      <c r="B104" s="70">
        <v>49.833333333333336</v>
      </c>
    </row>
    <row r="105" spans="1:4" ht="15.75" x14ac:dyDescent="0.25">
      <c r="A105" s="10" t="s">
        <v>72</v>
      </c>
      <c r="B105" s="70">
        <v>30</v>
      </c>
    </row>
    <row r="106" spans="1:4" ht="15.75" x14ac:dyDescent="0.25">
      <c r="A106" s="10" t="s">
        <v>322</v>
      </c>
      <c r="B106" s="70">
        <v>22</v>
      </c>
    </row>
    <row r="107" spans="1:4" ht="15.75" x14ac:dyDescent="0.25">
      <c r="A107" s="63" t="s">
        <v>435</v>
      </c>
      <c r="B107" s="71">
        <v>184.96</v>
      </c>
    </row>
    <row r="111" spans="1:4" ht="20.25" x14ac:dyDescent="0.3">
      <c r="A111" s="83" t="s">
        <v>464</v>
      </c>
      <c r="B111" s="84"/>
    </row>
    <row r="113" spans="1:2" ht="15.75" x14ac:dyDescent="0.25">
      <c r="A113" s="62" t="s">
        <v>465</v>
      </c>
      <c r="B113" s="62" t="s">
        <v>436</v>
      </c>
    </row>
    <row r="114" spans="1:2" ht="15.75" x14ac:dyDescent="0.25">
      <c r="A114" s="10" t="s">
        <v>462</v>
      </c>
      <c r="B114" s="8">
        <v>54</v>
      </c>
    </row>
    <row r="115" spans="1:2" ht="15.75" x14ac:dyDescent="0.25">
      <c r="A115" s="10" t="s">
        <v>78</v>
      </c>
      <c r="B115" s="8">
        <v>15</v>
      </c>
    </row>
    <row r="116" spans="1:2" ht="15.75" x14ac:dyDescent="0.25">
      <c r="A116" s="10" t="s">
        <v>463</v>
      </c>
      <c r="B116" s="8">
        <v>6</v>
      </c>
    </row>
    <row r="117" spans="1:2" x14ac:dyDescent="0.25">
      <c r="A117" s="78" t="s">
        <v>435</v>
      </c>
      <c r="B117" s="79">
        <v>75</v>
      </c>
    </row>
  </sheetData>
  <mergeCells count="13">
    <mergeCell ref="A111:B111"/>
    <mergeCell ref="A20:B20"/>
    <mergeCell ref="A1:B1"/>
    <mergeCell ref="A2:B2"/>
    <mergeCell ref="A21:B21"/>
    <mergeCell ref="A42:B42"/>
    <mergeCell ref="A94:B94"/>
    <mergeCell ref="A93:B93"/>
    <mergeCell ref="A55:B55"/>
    <mergeCell ref="A56:B56"/>
    <mergeCell ref="A43:B43"/>
    <mergeCell ref="A75:B75"/>
    <mergeCell ref="A76:B76"/>
  </mergeCells>
  <pageMargins left="0.7" right="0.7" top="0.75" bottom="0.75" header="0.3" footer="0.3"/>
  <drawing r:id="rId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B750B-A380-4D0A-9768-0CCBC29689E6}">
  <dimension ref="A1:N1"/>
  <sheetViews>
    <sheetView tabSelected="1" zoomScale="71" workbookViewId="0">
      <selection activeCell="S38" sqref="S38"/>
    </sheetView>
  </sheetViews>
  <sheetFormatPr defaultRowHeight="15" x14ac:dyDescent="0.25"/>
  <cols>
    <col min="1" max="1" width="61.7109375" customWidth="1"/>
  </cols>
  <sheetData>
    <row r="1" spans="1:14" ht="22.5" x14ac:dyDescent="0.3">
      <c r="A1" s="80" t="s">
        <v>460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</row>
  </sheetData>
  <mergeCells count="1">
    <mergeCell ref="A1:N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0C518-426B-44D6-BF41-E462AE4A7C54}">
  <dimension ref="A1:B12"/>
  <sheetViews>
    <sheetView workbookViewId="0">
      <selection activeCell="E9" sqref="E9"/>
    </sheetView>
  </sheetViews>
  <sheetFormatPr defaultRowHeight="15" x14ac:dyDescent="0.25"/>
  <cols>
    <col min="1" max="1" width="28.140625" customWidth="1"/>
    <col min="2" max="2" width="31.85546875" customWidth="1"/>
  </cols>
  <sheetData>
    <row r="1" spans="1:2" ht="20.25" x14ac:dyDescent="0.3">
      <c r="A1" s="72" t="s">
        <v>1</v>
      </c>
      <c r="B1" s="73" t="s">
        <v>461</v>
      </c>
    </row>
    <row r="2" spans="1:2" ht="15.75" x14ac:dyDescent="0.25">
      <c r="A2" s="74" t="s">
        <v>78</v>
      </c>
      <c r="B2" s="75" t="s">
        <v>78</v>
      </c>
    </row>
    <row r="3" spans="1:2" ht="15.75" x14ac:dyDescent="0.25">
      <c r="A3" s="74" t="s">
        <v>314</v>
      </c>
      <c r="B3" s="75" t="s">
        <v>462</v>
      </c>
    </row>
    <row r="4" spans="1:2" ht="15.75" x14ac:dyDescent="0.25">
      <c r="A4" s="74" t="s">
        <v>72</v>
      </c>
      <c r="B4" s="75" t="s">
        <v>462</v>
      </c>
    </row>
    <row r="5" spans="1:2" ht="15.75" x14ac:dyDescent="0.25">
      <c r="A5" s="74" t="s">
        <v>118</v>
      </c>
      <c r="B5" s="75" t="s">
        <v>462</v>
      </c>
    </row>
    <row r="6" spans="1:2" ht="15.75" x14ac:dyDescent="0.25">
      <c r="A6" s="74" t="s">
        <v>52</v>
      </c>
      <c r="B6" s="75" t="s">
        <v>462</v>
      </c>
    </row>
    <row r="7" spans="1:2" ht="15.75" x14ac:dyDescent="0.25">
      <c r="A7" s="74" t="s">
        <v>315</v>
      </c>
      <c r="B7" s="75" t="s">
        <v>462</v>
      </c>
    </row>
    <row r="8" spans="1:2" ht="15.75" x14ac:dyDescent="0.25">
      <c r="A8" s="74" t="s">
        <v>25</v>
      </c>
      <c r="B8" s="75" t="s">
        <v>462</v>
      </c>
    </row>
    <row r="9" spans="1:2" ht="15.75" x14ac:dyDescent="0.25">
      <c r="A9" s="74" t="s">
        <v>322</v>
      </c>
      <c r="B9" s="75" t="s">
        <v>462</v>
      </c>
    </row>
    <row r="10" spans="1:2" ht="15.75" x14ac:dyDescent="0.25">
      <c r="A10" s="74" t="s">
        <v>110</v>
      </c>
      <c r="B10" s="75" t="s">
        <v>463</v>
      </c>
    </row>
    <row r="11" spans="1:2" ht="15.75" x14ac:dyDescent="0.25">
      <c r="A11" s="74" t="s">
        <v>98</v>
      </c>
      <c r="B11" s="75" t="s">
        <v>462</v>
      </c>
    </row>
    <row r="12" spans="1:2" ht="16.5" thickBot="1" x14ac:dyDescent="0.3">
      <c r="A12" s="76" t="s">
        <v>36</v>
      </c>
      <c r="B12" s="77" t="s">
        <v>462</v>
      </c>
    </row>
  </sheetData>
  <autoFilter ref="A1:B12" xr:uid="{C340C518-426B-44D6-BF41-E462AE4A7C5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Cleaned Data</vt:lpstr>
      <vt:lpstr>Pivot Tables</vt:lpstr>
      <vt:lpstr>Charts</vt:lpstr>
      <vt:lpstr>Lookup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Séquel DeFini</dc:creator>
  <cp:lastModifiedBy>Séquel DeFini</cp:lastModifiedBy>
  <dcterms:created xsi:type="dcterms:W3CDTF">2026-05-06T21:05:33Z</dcterms:created>
  <dcterms:modified xsi:type="dcterms:W3CDTF">2026-08-11T18:05:12Z</dcterms:modified>
</cp:coreProperties>
</file>